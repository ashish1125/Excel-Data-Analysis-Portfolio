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1.Data Journey\1.Excel\3. Practice Project\"/>
    </mc:Choice>
  </mc:AlternateContent>
  <xr:revisionPtr revIDLastSave="0" documentId="13_ncr:1_{66D6C59D-0716-44A8-ADEC-C08057923606}" xr6:coauthVersionLast="47" xr6:coauthVersionMax="47" xr10:uidLastSave="{00000000-0000-0000-0000-000000000000}"/>
  <bookViews>
    <workbookView xWindow="-120" yWindow="-120" windowWidth="20730" windowHeight="11040" tabRatio="767" xr2:uid="{00000000-000D-0000-FFFF-FFFF00000000}"/>
  </bookViews>
  <sheets>
    <sheet name="Raw_Data" sheetId="1" r:id="rId1"/>
    <sheet name="Cleaned_Data" sheetId="2" r:id="rId2"/>
    <sheet name="Sales_by_Store" sheetId="3" r:id="rId3"/>
    <sheet name="Sales_by_Category" sheetId="4" r:id="rId4"/>
    <sheet name="Monthly_Sales_Trend" sheetId="5" r:id="rId5"/>
    <sheet name="Top_5_Customers_by_Revenue" sheetId="6" r:id="rId6"/>
    <sheet name="KPIs" sheetId="12" r:id="rId7"/>
    <sheet name="Dashboard" sheetId="13" r:id="rId8"/>
  </sheets>
  <definedNames>
    <definedName name="Slicer_Months">#N/A</definedName>
  </definedNames>
  <calcPr calcId="191029"/>
  <pivotCaches>
    <pivotCache cacheId="46"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3" i="2" l="1"/>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2" i="2"/>
</calcChain>
</file>

<file path=xl/sharedStrings.xml><?xml version="1.0" encoding="utf-8"?>
<sst xmlns="http://schemas.openxmlformats.org/spreadsheetml/2006/main" count="713" uniqueCount="285">
  <si>
    <t>ORD001,01-01-2026,Ahmedabad,Amit Shah,Laptop,HP 15,2,45000</t>
  </si>
  <si>
    <t>ORD002,01-01-2026,Rajkot,Priya Patel,Mobile,Samsung A35,1,28000</t>
  </si>
  <si>
    <t>ORD003,02-01-2026,Surat,Rahul Mehta,Laptop,Dell Inspiron,1,52000</t>
  </si>
  <si>
    <t>ORD004,02-01-2026,Ahmedabad,Neha Joshi,Mobile,Redmi Note 14,3,18000</t>
  </si>
  <si>
    <t>ORD005,03-01-2026,Vadodara,Karan Shah,Tablet,Lenovo Tab,2,22000</t>
  </si>
  <si>
    <t>ORD006,03-01-2026,Rajkot,Pooja Patel,Laptop,HP 15,1,45000</t>
  </si>
  <si>
    <t>ORD007,04-01-2026,Surat,Amit Shah,Mobile,Samsung A35,2,28000</t>
  </si>
  <si>
    <t>ORD008,04-01-2026,Ahmedabad,Jay Patel,Tablet,Lenovo Tab,1,22000</t>
  </si>
  <si>
    <t>ORD009,05-01-2026,Vadodara,Riya Shah,Mobile,Redmi Note 14,2,18000</t>
  </si>
  <si>
    <t>ORD010,05-01-2026,Rajkot,Rahul Mehta,Laptop,Dell Inspiron,1,52000</t>
  </si>
  <si>
    <t>ORD011,06-01-2026,Surat,Neha Joshi,Tablet,Lenovo Tab,3,22000</t>
  </si>
  <si>
    <t>ORD012,06-01-2026,Ahmedabad,Priya Patel,Laptop,HP 15,2,45000</t>
  </si>
  <si>
    <t>ORD013,07-01-2026,Rajkot,Jay Patel,Mobile,Samsung A35,1,28000</t>
  </si>
  <si>
    <t>ORD014,07-01-2026,Vadodara,Karan Shah,Laptop,Dell Inspiron,2,52000</t>
  </si>
  <si>
    <t>ORD015,08-01-2026,Surat,Riya Shah,Mobile,Redmi Note 14,1,18000</t>
  </si>
  <si>
    <t>ORD016,08-01-2026,Ahmedabad,Amit Shah,Tablet,Lenovo Tab,2,22000</t>
  </si>
  <si>
    <t>ORD017,09-01-2026,Rajkot,Priya Patel,Laptop,HP 15,1,45000</t>
  </si>
  <si>
    <t>ORD018,09-01-2026,Vadodara,Rahul Mehta,Mobile,Samsung A35,2,28000</t>
  </si>
  <si>
    <t>ORD019,10-01-2026,Surat,Jay Patel,Laptop,Dell Inspiron,1,52000</t>
  </si>
  <si>
    <t>ORD020,10-01-2026,Ahmedabad,Neha Joshi,Mobile,Redmi Note 14,2,18000</t>
  </si>
  <si>
    <t>ORD021,11-01-2026,Ahmedabad,Amit Shah,Laptop,HP 15,1,45000</t>
  </si>
  <si>
    <t>ORD022,11-01-2026,Rajkot,Pooja Patel,Mobile,Samsung A35,2,28000</t>
  </si>
  <si>
    <t>ORD023,12-01-2026,Surat,Riya Shah,Tablet,Lenovo Tab,1,22000</t>
  </si>
  <si>
    <t>ORD024,12-01-2026,Vadodara,Karan Shah,Mobile,Redmi Note 14,3,18000</t>
  </si>
  <si>
    <t>ORD025,13-01-2026,Ahmedabad,Jay Patel,Laptop,Dell Inspiron,2,52000</t>
  </si>
  <si>
    <t>ORD026,13-01-2026,Rajkot,Priya Patel,Tablet,Lenovo Tab,2,22000</t>
  </si>
  <si>
    <t>ORD027,14-01-2026,Surat,Rahul Mehta,Mobile,Samsung A35,1,28000</t>
  </si>
  <si>
    <t>ORD028,14-01-2026,Vadodara,Neha Joshi,Laptop,HP 15,1,45000</t>
  </si>
  <si>
    <t>ORD029,15-01-2026,Ahmedabad,Amit Shah,Mobile,Redmi Note 14,2,18000</t>
  </si>
  <si>
    <t>ORD030,15-01-2026,Rajkot,Jay Patel,Tablet,Lenovo Tab,1,22000</t>
  </si>
  <si>
    <t>ORD031,16-01-2026,Surat,Priya Patel,Laptop,Dell Inspiron,1,52000</t>
  </si>
  <si>
    <t>ORD032,16-01-2026,Vadodara,Riya Shah,Mobile,Samsung A35,2,28000</t>
  </si>
  <si>
    <t>ORD033,17-01-2026,Ahmedabad,Karan Shah,Tablet,Lenovo Tab,1,22000</t>
  </si>
  <si>
    <t>ORD034,17-01-2026,Rajkot,Rahul Mehta,Laptop,HP 15,2,45000</t>
  </si>
  <si>
    <t>ORD035,18-01-2026,Surat,Neha Joshi,Mobile,Samsung A35,1,28000</t>
  </si>
  <si>
    <t>ORD036,18-01-2026,Vadodara,Jay Patel,Laptop,Dell Inspiron,1,52000</t>
  </si>
  <si>
    <t>ORD037,19-01-2026,Ahmedabad,Pooja Patel,Mobile,Redmi Note 14,3,18000</t>
  </si>
  <si>
    <t>ORD038,19-01-2026,Rajkot,Amit Shah,Tablet,Lenovo Tab,2,22000</t>
  </si>
  <si>
    <t>ORD039,20-01-2026,Surat,Karan Shah,Laptop,HP 15,1,45000</t>
  </si>
  <si>
    <t>ORD040,20-01-2026,Vadodara,Priya Patel,Mobile,Samsung A35,1,28000</t>
  </si>
  <si>
    <t>ORD041,21-01-2026,Ahmedabad,Rahul Mehta,Tablet,Lenovo Tab,2,22000</t>
  </si>
  <si>
    <t>ORD042,21-01-2026,Rajkot,Neha Joshi,Laptop,Dell Inspiron,1,52000</t>
  </si>
  <si>
    <t>ORD043,22-01-2026,Surat,Amit Shah,Mobile,Samsung A35,2,28000</t>
  </si>
  <si>
    <t>ORD044,22-01-2026,Vadodara,Jay Patel,Mobile,Redmi Note 14,1,18000</t>
  </si>
  <si>
    <t>ORD045,23-01-2026,Ahmedabad,Riya Shah,Laptop,HP 15,2,45000</t>
  </si>
  <si>
    <t>ORD046,23-01-2026,Rajkot,Karan Shah,Tablet,Lenovo Tab,1,22000</t>
  </si>
  <si>
    <t>ORD047,24-01-2026,Surat,Priya Patel,Mobile,Samsung A35,3,28000</t>
  </si>
  <si>
    <t>ORD048,24-01-2026,Vadodara,Rahul Mehta,Laptop,Dell Inspiron,2,52000</t>
  </si>
  <si>
    <t>ORD049,25-01-2026,Ahmedabad,Neha Joshi,Tablet,Lenovo Tab,1,22000</t>
  </si>
  <si>
    <t>ORD050,25-01-2026,Rajkot,Amit Shah,Laptop,HP 15,1,45000</t>
  </si>
  <si>
    <t>ORD051,26-01-2026,Surat,Jay Patel,Mobile,Samsung A35,2,28000</t>
  </si>
  <si>
    <t>ORD052,26-01-2026,Vadodara,Priya Patel,Laptop,Dell Inspiron,1,52000</t>
  </si>
  <si>
    <t>ORD053,27-01-2026,Ahmedabad,Riya Shah,Mobile,Redmi Note 14,2,18000</t>
  </si>
  <si>
    <t>ORD054,27-01-2026,Rajkot,Karan Shah,Laptop,HP 15,1,45000</t>
  </si>
  <si>
    <t>ORD055,28-01-2026,Surat,Neha Joshi,Tablet,Lenovo Tab,2,22000</t>
  </si>
  <si>
    <t>ORD056,28-01-2026,Vadodara,Amit Shah,Mobile,Samsung A35,1,28000</t>
  </si>
  <si>
    <t>ORD057,29-01-2026,Ahmedabad,Pooja Patel,Laptop,Dell Inspiron,1,52000</t>
  </si>
  <si>
    <t>ORD058,29-01-2026,Rajkot,Jay Patel,Tablet,Lenovo Tab,3,22000</t>
  </si>
  <si>
    <t>ORD059,30-01-2026,Surat,Priya Patel,Mobile,Redmi Note 14,1,18000</t>
  </si>
  <si>
    <t>ORD060,30-01-2026,Vadodara,Rahul Mehta,Laptop,HP 15,2,45000</t>
  </si>
  <si>
    <t>ORD061,31-01-2026,Ahmedabad,Riya Shah,Mobile,Samsung A35,2,28000</t>
  </si>
  <si>
    <t>ORD062,31-01-2026,Rajkot,Neha Joshi,Laptop,Dell Inspiron,1,52000</t>
  </si>
  <si>
    <t>ORD063,01-02-2026,Surat,Amit Shah,Tablet,Lenovo Tab,1,22000</t>
  </si>
  <si>
    <t>ORD064,01-02-2026,Vadodara,Jay Patel,Mobile,Redmi Note 14,2,18000</t>
  </si>
  <si>
    <t>ORD065,02-02-2026,Ahmedabad,Karan Shah,Laptop,HP 15,1,45000</t>
  </si>
  <si>
    <t>ORD066,02-02-2026,Rajkot,Priya Patel,Mobile,Samsung A35,1,28000</t>
  </si>
  <si>
    <t>ORD067,03-02-2026,Surat,Rahul Mehta,Tablet,Lenovo Tab,2,22000</t>
  </si>
  <si>
    <t>ORD068,03-02-2026,Vadodara,Neha Joshi,Mobile,Redmi Note 14,1,18000</t>
  </si>
  <si>
    <t>ORD069,04-02-2026,Ahmedabad,Jay Patel,Laptop,Dell Inspiron,2,52000</t>
  </si>
  <si>
    <t>ORD070,04-02-2026,Rajkot,Amit Shah,Mobile,Samsung A35,1,28000</t>
  </si>
  <si>
    <t>ORD071,05-02-2026,Surat,Pooja Patel,Laptop,HP 15,1,45000</t>
  </si>
  <si>
    <t>ORD072,05-02-2026,Vadodara,Riya Shah,Tablet,Lenovo Tab,3,22000</t>
  </si>
  <si>
    <t>ORD073,06-02-2026,Ahmedabad,Rahul Mehta,Mobile,Redmi Note 14,2,18000</t>
  </si>
  <si>
    <t>ORD074,06-02-2026,Rajkot,Karan Shah,Laptop,Dell Inspiron,1,52000</t>
  </si>
  <si>
    <t>ORD075,07-02-2026,Surat,Neha Joshi,Mobile,Samsung A35,2,28000</t>
  </si>
  <si>
    <t>ORD076,07-02-2026,Vadodara,Amit Shah,Tablet,Lenovo Tab,1,22000</t>
  </si>
  <si>
    <t>ORD077,08-02-2026,Ahmedabad,Jay Patel,Mobile,Redmi Note 14,1,18000</t>
  </si>
  <si>
    <t>ORD078,08-02-2026,Rajkot,Priya Patel,Laptop,HP 15,2,45000</t>
  </si>
  <si>
    <t>ORD079,09-02-2026,Surat,Rahul Mehta,Tablet,Lenovo Tab,1,22000</t>
  </si>
  <si>
    <t>ORD080,09-02-2026,Vadodara,Pooja Patel,Mobile,Samsung A35,2,28000</t>
  </si>
  <si>
    <t>ORD081,10-02-2026,Ahmedabad,Karan Shah,Laptop,Dell Inspiron,1,52000</t>
  </si>
  <si>
    <t>ORD082,10-02-2026,Rajkot,Riya Shah,Mobile,Redmi Note 14,2,18000</t>
  </si>
  <si>
    <t>ORD083,11-02-2026,Surat,Amit Shah,Tablet,Lenovo Tab,2,22000</t>
  </si>
  <si>
    <t>ORD084,11-02-2026,Vadodara,Jay Patel,Laptop,HP 15,1,45000</t>
  </si>
  <si>
    <t>ORD085,12-02-2026,Ahmedabad,Neha Joshi,Mobile,Samsung A35,1,28000</t>
  </si>
  <si>
    <t>ORD086,12-02-2026,Rajkot,Rahul Mehta,Laptop,Dell Inspiron,2,52000</t>
  </si>
  <si>
    <t>ORD087,13-02-2026,Surat,Priya Patel,Tablet,Lenovo Tab,1,22000</t>
  </si>
  <si>
    <t>ORD088,13-02-2026,Vadodara,Amit Shah,Mobile,Redmi Note 14,3,18000</t>
  </si>
  <si>
    <t>ORD089,14-02-2026,Ahmedabad,Jay Patel,Laptop,Dell Inspiron,1,52000</t>
  </si>
  <si>
    <t>ORD090,14-02-2026,Rajkot,Neha Joshi,Tablet,Lenovo Tab,2,22000</t>
  </si>
  <si>
    <t>ORD091,15-02-2026,Surat,Karan Shah,Mobile,Samsung A35,1,28000</t>
  </si>
  <si>
    <t>ORD092,15-02-2026,Vadodara,Riya Shah,Laptop,HP 15,2,45000</t>
  </si>
  <si>
    <t>ORD093,16-02-2026,Ahmedabad,Pooja Patel,Mobile,Redmi Note 14,1,18000</t>
  </si>
  <si>
    <t>ORD094,16-02-2026,Rajkot,Amit Shah,Tablet,Lenovo Tab,2,22000</t>
  </si>
  <si>
    <t>ORD095,17-02-2026,Surat,Jay Patel,Mobile,Samsung A35,1,28000</t>
  </si>
  <si>
    <t>ORD096,17-02-2026,Vadodara,Priya Patel,Laptop,Dell Inspiron,1,52000</t>
  </si>
  <si>
    <t>ORD097,18-02-2026,Ahmedabad,Rahul Mehta,Tablet,Lenovo Tab,3,22000</t>
  </si>
  <si>
    <t>ORD098,18-02-2026,Rajkot,Neha Joshi,Mobile,Redmi Note 14,2,18000</t>
  </si>
  <si>
    <t>ORD099,19-02-2026,Surat,Karan Shah,Laptop,HP 15,1,45000</t>
  </si>
  <si>
    <t>ORD100,19-02-2026,Vadodara,Riya Shah,Mobile,Samsung A35,2,28000</t>
  </si>
  <si>
    <t>ORD001</t>
  </si>
  <si>
    <t>Ahmedabad</t>
  </si>
  <si>
    <t>Amit Shah</t>
  </si>
  <si>
    <t>Laptop</t>
  </si>
  <si>
    <t>HP 15</t>
  </si>
  <si>
    <t>ORD002</t>
  </si>
  <si>
    <t>Rajkot</t>
  </si>
  <si>
    <t>Priya Patel</t>
  </si>
  <si>
    <t>Mobile</t>
  </si>
  <si>
    <t>ORD003</t>
  </si>
  <si>
    <t>Surat</t>
  </si>
  <si>
    <t>Rahul Mehta</t>
  </si>
  <si>
    <t>ORD004</t>
  </si>
  <si>
    <t>Neha Joshi</t>
  </si>
  <si>
    <t>ORD005</t>
  </si>
  <si>
    <t>Vadodara</t>
  </si>
  <si>
    <t>Karan Shah</t>
  </si>
  <si>
    <t>Tablet</t>
  </si>
  <si>
    <t>ORD006</t>
  </si>
  <si>
    <t>Pooja Patel</t>
  </si>
  <si>
    <t>ORD007</t>
  </si>
  <si>
    <t>ORD008</t>
  </si>
  <si>
    <t>Jay Patel</t>
  </si>
  <si>
    <t>ORD009</t>
  </si>
  <si>
    <t>Riya Shah</t>
  </si>
  <si>
    <t>ORD010</t>
  </si>
  <si>
    <t>ORD011</t>
  </si>
  <si>
    <t>ORD012</t>
  </si>
  <si>
    <t>ORD013</t>
  </si>
  <si>
    <t>ORD014</t>
  </si>
  <si>
    <t>ORD015</t>
  </si>
  <si>
    <t>ORD016</t>
  </si>
  <si>
    <t>ORD017</t>
  </si>
  <si>
    <t>ORD018</t>
  </si>
  <si>
    <t>ORD019</t>
  </si>
  <si>
    <t>ORD020</t>
  </si>
  <si>
    <t>ORD021</t>
  </si>
  <si>
    <t>ORD022</t>
  </si>
  <si>
    <t>ORD023</t>
  </si>
  <si>
    <t>ORD024</t>
  </si>
  <si>
    <t>ORD025</t>
  </si>
  <si>
    <t>ORD026</t>
  </si>
  <si>
    <t>ORD027</t>
  </si>
  <si>
    <t>ORD028</t>
  </si>
  <si>
    <t>ORD029</t>
  </si>
  <si>
    <t>ORD030</t>
  </si>
  <si>
    <t>ORD031</t>
  </si>
  <si>
    <t>ORD032</t>
  </si>
  <si>
    <t>ORD033</t>
  </si>
  <si>
    <t>ORD034</t>
  </si>
  <si>
    <t>ORD035</t>
  </si>
  <si>
    <t>ORD036</t>
  </si>
  <si>
    <t>ORD037</t>
  </si>
  <si>
    <t>ORD038</t>
  </si>
  <si>
    <t>ORD039</t>
  </si>
  <si>
    <t>ORD040</t>
  </si>
  <si>
    <t>ORD041</t>
  </si>
  <si>
    <t>ORD042</t>
  </si>
  <si>
    <t>ORD043</t>
  </si>
  <si>
    <t>ORD044</t>
  </si>
  <si>
    <t>ORD045</t>
  </si>
  <si>
    <t>ORD046</t>
  </si>
  <si>
    <t>ORD047</t>
  </si>
  <si>
    <t>ORD048</t>
  </si>
  <si>
    <t>ORD049</t>
  </si>
  <si>
    <t>ORD050</t>
  </si>
  <si>
    <t>ORD051</t>
  </si>
  <si>
    <t>ORD052</t>
  </si>
  <si>
    <t>ORD053</t>
  </si>
  <si>
    <t>ORD054</t>
  </si>
  <si>
    <t>ORD055</t>
  </si>
  <si>
    <t>ORD056</t>
  </si>
  <si>
    <t>ORD057</t>
  </si>
  <si>
    <t>ORD058</t>
  </si>
  <si>
    <t>ORD059</t>
  </si>
  <si>
    <t>ORD060</t>
  </si>
  <si>
    <t>ORD061</t>
  </si>
  <si>
    <t>ORD062</t>
  </si>
  <si>
    <t>ORD063</t>
  </si>
  <si>
    <t>ORD064</t>
  </si>
  <si>
    <t>ORD065</t>
  </si>
  <si>
    <t>ORD066</t>
  </si>
  <si>
    <t>ORD067</t>
  </si>
  <si>
    <t>ORD068</t>
  </si>
  <si>
    <t>ORD069</t>
  </si>
  <si>
    <t>ORD070</t>
  </si>
  <si>
    <t>ORD071</t>
  </si>
  <si>
    <t>ORD072</t>
  </si>
  <si>
    <t>ORD073</t>
  </si>
  <si>
    <t>ORD074</t>
  </si>
  <si>
    <t>ORD075</t>
  </si>
  <si>
    <t>ORD076</t>
  </si>
  <si>
    <t>ORD077</t>
  </si>
  <si>
    <t>ORD078</t>
  </si>
  <si>
    <t>ORD079</t>
  </si>
  <si>
    <t>ORD080</t>
  </si>
  <si>
    <t>ORD081</t>
  </si>
  <si>
    <t>ORD082</t>
  </si>
  <si>
    <t>ORD083</t>
  </si>
  <si>
    <t>ORD084</t>
  </si>
  <si>
    <t>ORD085</t>
  </si>
  <si>
    <t>ORD086</t>
  </si>
  <si>
    <t>ORD087</t>
  </si>
  <si>
    <t>ORD088</t>
  </si>
  <si>
    <t>ORD089</t>
  </si>
  <si>
    <t>ORD090</t>
  </si>
  <si>
    <t>ORD091</t>
  </si>
  <si>
    <t>ORD092</t>
  </si>
  <si>
    <t>ORD093</t>
  </si>
  <si>
    <t>ORD094</t>
  </si>
  <si>
    <t>ORD095</t>
  </si>
  <si>
    <t>ORD096</t>
  </si>
  <si>
    <t>ORD097</t>
  </si>
  <si>
    <t>ORD098</t>
  </si>
  <si>
    <t>ORD099</t>
  </si>
  <si>
    <t>ORD100</t>
  </si>
  <si>
    <t>SAMSUNG A35</t>
  </si>
  <si>
    <t>DELL INSPIRON</t>
  </si>
  <si>
    <t>REDMI NOTE 14</t>
  </si>
  <si>
    <t>LENOVO TAB</t>
  </si>
  <si>
    <t>Date</t>
  </si>
  <si>
    <t>Store</t>
  </si>
  <si>
    <t>Customer</t>
  </si>
  <si>
    <t>Category</t>
  </si>
  <si>
    <t>Product</t>
  </si>
  <si>
    <t>Unit_Price</t>
  </si>
  <si>
    <t>Order_Id</t>
  </si>
  <si>
    <t>Quantity</t>
  </si>
  <si>
    <t>Revenue</t>
  </si>
  <si>
    <t>Grand Total</t>
  </si>
  <si>
    <t>Row Labels</t>
  </si>
  <si>
    <t>Sum of Revenue</t>
  </si>
  <si>
    <t>Percentage</t>
  </si>
  <si>
    <t>Jan</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</si>
  <si>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</si>
  <si>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</si>
  <si>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</si>
  <si>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</si>
  <si>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</si>
  <si>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</si>
  <si>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</si>
  <si>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</si>
  <si>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</si>
  <si>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</si>
  <si>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</si>
  <si>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</si>
  <si>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</si>
  <si>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</si>
  <si>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</si>
  <si>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</si>
  <si>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</si>
  <si>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</si>
  <si>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</si>
  <si>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</si>
  <si>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</si>
  <si>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</si>
  <si>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</si>
  <si>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</si>
  <si>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</si>
  <si>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</si>
  <si>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</si>
  <si>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</si>
  <si>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</si>
  <si>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</si>
  <si>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</si>
  <si>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Feb</t>
  </si>
  <si>
    <t>1-Feb</t>
  </si>
  <si>
    <t>2-Feb</t>
  </si>
  <si>
    <t>3-Feb</t>
  </si>
  <si>
    <t>4-Feb</t>
  </si>
  <si>
    <t>5-Feb</t>
  </si>
  <si>
    <t>6-Feb</t>
  </si>
  <si>
    <t>7-Feb</t>
  </si>
  <si>
    <t>8-Feb</t>
  </si>
  <si>
    <t>9-Feb</t>
  </si>
  <si>
    <t>10-Feb</t>
  </si>
  <si>
    <t>11-Feb</t>
  </si>
  <si>
    <t>12-Feb</t>
  </si>
  <si>
    <t>13-Feb</t>
  </si>
  <si>
    <t>14-Feb</t>
  </si>
  <si>
    <t>15-Feb</t>
  </si>
  <si>
    <t>16-Feb</t>
  </si>
  <si>
    <t>17-Feb</t>
  </si>
  <si>
    <t>18-Feb</t>
  </si>
  <si>
    <t>19-Feb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</si>
</sst>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0" formatCode="[$-409]d\-mmm\-yyyy;@"/>
    <numFmt numFmtId="175" formatCode="[$₹-4009]\ #,##0"/>
  </numFmts>
  <fonts count="4" x14ac:knownFonts="1">
    <font>
      <sz val="11"/>
      <color theme="1"/>
      <name val="Calibri"/>
      <family val="2"/>
      <scheme val="minor"/>
    </font>
    <font>
      <b/>
      <sz val="11"/>
      <color theme="1"/>
      <name val="Calibri"/>
      <family val="2"/>
      <scheme val="minor"/>
    </font>
    <font>
      <sz val="12"/>
      <name val="Georgia"/>
      <family val="1"/>
    </font>
    <font>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2" fillId="0" borderId="0" xfId="0" applyFont="1"/>
    <xf numFmtId="14" fontId="0" fillId="0" borderId="0" xfId="0" applyNumberFormat="1"/>
    <xf numFmtId="0" fontId="1" fillId="0" borderId="0" xfId="0" applyFont="1" applyAlignment="1">
      <alignment horizontal="center" vertical="center" wrapText="1"/>
    </xf>
    <xf numFmtId="49" fontId="0" fillId="0" borderId="0" xfId="0" applyNumberFormat="1"/>
    <xf numFmtId="0" fontId="1" fillId="0" borderId="0" xfId="0" applyFont="1" applyAlignment="1">
      <alignment horizontal="center"/>
    </xf>
    <xf numFmtId="49" fontId="3" fillId="0" borderId="0" xfId="0" applyNumberFormat="1" applyFont="1" applyAlignment="1">
      <alignment horizontal="center"/>
    </xf>
    <xf numFmtId="170" fontId="3" fillId="0" borderId="0" xfId="0" applyNumberFormat="1" applyFont="1" applyAlignment="1">
      <alignment horizontal="center"/>
    </xf>
    <xf numFmtId="1" fontId="3" fillId="0" borderId="0" xfId="0" applyNumberFormat="1" applyFont="1" applyAlignment="1">
      <alignment horizontal="center"/>
    </xf>
    <xf numFmtId="175" fontId="3" fillId="0" borderId="0" xfId="0" applyNumberFormat="1" applyFont="1" applyAlignment="1">
      <alignment horizontal="center"/>
    </xf>
    <xf numFmtId="175" fontId="0" fillId="0" borderId="0" xfId="0" applyNumberFormat="1"/>
    <xf numFmtId="175" fontId="0" fillId="0" borderId="0" xfId="0" applyNumberFormat="1" applyAlignment="1">
      <alignment horizontal="center"/>
    </xf>
    <xf numFmtId="49" fontId="0" fillId="0" borderId="0" xfId="0" pivotButton="1" applyNumberFormat="1"/>
    <xf numFmtId="49" fontId="0" fillId="0" borderId="0" xfId="0" applyNumberFormat="1" applyAlignment="1">
      <alignment horizontal="left"/>
    </xf>
    <xf numFmtId="10" fontId="0" fillId="0" borderId="0" xfId="0" applyNumberFormat="1"/>
    <xf numFmtId="170" fontId="0" fillId="0" borderId="0" xfId="0" applyNumberFormat="1" applyAlignment="1">
      <alignment horizontal="left" indent="1"/>
    </xf>
  </cellXfs>
  <cellStyles count="1">
    <cellStyle name="Normal" xfId="0" builtinId="0"/>
  </cellStyles>
  <dxfs count="52">
    <dxf>
      <font>
        <b/>
        <i val="0"/>
        <sz val="18"/>
        <color theme="0"/>
        <name val="Calibri"/>
        <family val="2"/>
        <scheme val="minor"/>
      </font>
      <border diagonalUp="0" diagonalDown="0">
        <left/>
        <right/>
        <top/>
        <bottom/>
        <vertical/>
        <horizontal/>
      </border>
    </dxf>
    <dxf>
      <font>
        <b val="0"/>
        <i val="0"/>
        <sz val="16"/>
        <color theme="0"/>
        <name val="Calibri"/>
        <family val="2"/>
        <scheme val="minor"/>
      </font>
      <fill>
        <patternFill>
          <bgColor theme="1"/>
        </patternFill>
      </fill>
      <border diagonalUp="0" diagonalDown="0">
        <left/>
        <right/>
        <top/>
        <bottom/>
        <vertical/>
        <horizontal/>
      </border>
    </dxf>
    <dxf>
      <numFmt numFmtId="30" formatCode="@"/>
    </dxf>
    <dxf>
      <numFmt numFmtId="30" formatCode="@"/>
    </dxf>
    <dxf>
      <numFmt numFmtId="30" formatCode="@"/>
    </dxf>
    <dxf>
      <numFmt numFmtId="30" formatCode="@"/>
    </dxf>
    <dxf>
      <numFmt numFmtId="175" formatCode="[$₹-4009]\ #,##0"/>
    </dxf>
    <dxf>
      <numFmt numFmtId="30" formatCode="@"/>
    </dxf>
    <dxf>
      <numFmt numFmtId="30" formatCode="@"/>
    </dxf>
    <dxf>
      <numFmt numFmtId="30" formatCode="@"/>
    </dxf>
    <dxf>
      <numFmt numFmtId="175" formatCode="[$₹-4009]\ #,##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75" formatCode="[$₹-4009]\ #,##0"/>
    </dxf>
    <dxf>
      <numFmt numFmtId="30" formatCode="@"/>
    </dxf>
    <dxf>
      <numFmt numFmtId="175" formatCode="[$₹-4009]\ #,##0"/>
    </dxf>
    <dxf>
      <numFmt numFmtId="30" formatCode="@"/>
    </dxf>
    <dxf>
      <numFmt numFmtId="30" formatCode="@"/>
    </dxf>
    <dxf>
      <numFmt numFmtId="30" formatCode="@"/>
    </dxf>
    <dxf>
      <numFmt numFmtId="30" formatCode="@"/>
    </dxf>
    <dxf>
      <numFmt numFmtId="175" formatCode="[$₹-4009]\ #,##0"/>
    </dxf>
    <dxf>
      <numFmt numFmtId="30" formatCode="@"/>
    </dxf>
    <dxf>
      <numFmt numFmtId="30" formatCode="@"/>
    </dxf>
    <dxf>
      <numFmt numFmtId="30" formatCode="@"/>
    </dxf>
    <dxf>
      <numFmt numFmtId="30" formatCode="@"/>
    </dxf>
    <dxf>
      <numFmt numFmtId="30" formatCode="@"/>
    </dxf>
    <dxf>
      <numFmt numFmtId="175" formatCode="[$₹-4009]\ #,##0"/>
    </dxf>
    <dxf>
      <numFmt numFmtId="30" formatCode="@"/>
    </dxf>
    <dxf>
      <numFmt numFmtId="30" formatCode="@"/>
    </dxf>
    <dxf>
      <numFmt numFmtId="30" formatCode="@"/>
    </dxf>
    <dxf>
      <numFmt numFmtId="30" formatCode="@"/>
    </dxf>
    <dxf>
      <numFmt numFmtId="175" formatCode="[$₹-4009]\ #,##0"/>
    </dxf>
    <dxf>
      <numFmt numFmtId="175" formatCode="[$₹-4009]\ #,##0"/>
    </dxf>
    <dxf>
      <numFmt numFmtId="30" formatCode="@"/>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numFmt numFmtId="175" formatCode="[$₹-4009]\ #,##0"/>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75" formatCode="[$₹-4009]\ #,##0"/>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70" formatCode="[$-409]d\-mmm\-yyyy;@"/>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30" formatCode="@"/>
      <alignment horizontal="center" vertical="bottom" textRotation="0" wrapText="0" indent="0" justifyLastLine="0" shrinkToFit="0" readingOrder="0"/>
    </dxf>
  </dxfs>
  <tableStyles count="1" defaultTableStyle="TableStyleMedium2" defaultPivotStyle="PivotStyleLight16">
    <tableStyle name="B &amp; W" pivot="0" table="0" count="7" xr9:uid="{7E6C2432-8E2A-4684-8DD8-16D504CFAFA4}">
      <tableStyleElement type="wholeTable" dxfId="1"/>
      <tableStyleElement type="headerRow" dxfId="0"/>
    </tableStyle>
  </tableStyles>
  <extLst>
    <ext xmlns:x14="http://schemas.microsoft.com/office/spreadsheetml/2009/9/main" uri="{46F421CA-312F-682f-3DD2-61675219B42D}">
      <x14:dxfs count="4">
        <dxf>
          <font>
            <b/>
            <i val="0"/>
            <sz val="16"/>
            <color theme="1"/>
            <name val="Calibri"/>
            <family val="2"/>
            <scheme val="minor"/>
          </font>
          <fill>
            <patternFill>
              <bgColor theme="0" tint="-0.14996795556505021"/>
            </patternFill>
          </fill>
          <border diagonalUp="0" diagonalDown="0">
            <left/>
            <right/>
            <top/>
            <bottom/>
            <vertical/>
            <horizontal/>
          </border>
        </dxf>
        <dxf>
          <font>
            <b/>
            <i val="0"/>
            <sz val="16"/>
            <color theme="1"/>
            <name val="Calibri"/>
            <family val="2"/>
            <scheme val="minor"/>
          </font>
          <fill>
            <patternFill>
              <bgColor theme="0" tint="-0.14996795556505021"/>
            </patternFill>
          </fill>
          <border diagonalUp="0" diagonalDown="0">
            <left/>
            <right/>
            <top/>
            <bottom/>
            <vertical/>
            <horizontal/>
          </border>
        </dxf>
        <dxf>
          <font>
            <b/>
            <i val="0"/>
            <sz val="16"/>
            <color theme="1"/>
            <name val="Calibri"/>
            <family val="2"/>
            <scheme val="minor"/>
          </font>
          <fill>
            <patternFill>
              <bgColor theme="0"/>
            </patternFill>
          </fill>
          <border diagonalUp="0" diagonalDown="0">
            <left/>
            <right/>
            <top/>
            <bottom/>
            <vertical/>
            <horizontal/>
          </border>
        </dxf>
        <dxf>
          <font>
            <b/>
            <i val="0"/>
            <sz val="16"/>
            <color theme="0"/>
            <name val="Calibri"/>
            <family val="2"/>
            <scheme val="minor"/>
          </font>
          <fill>
            <patternFill>
              <bgColor theme="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B &amp; W">
          <x14:slicerStyleElements>
            <x14:slicerStyleElement type="unselectedItemWithData" dxfId="3"/>
            <x14:slicerStyleElement type="selectedItemWithData" dxfId="2"/>
            <x14:slicerStyleElement type="selectedItemWithNoData"/>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 Retail Sales Company.xlsx]Sales_by_Store!PivotTable1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Sales by Store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Sales_by_Store!$B$3</c:f>
              <c:strCache>
                <c:ptCount val="1"/>
                <c:pt idx="0">
                  <c:v>Total</c:v>
                </c:pt>
              </c:strCache>
            </c:strRef>
          </c:tx>
          <c:spPr>
            <a:solidFill>
              <a:schemeClr val="accent1"/>
            </a:solidFill>
            <a:ln>
              <a:solidFill>
                <a:schemeClr val="accent1"/>
              </a:solidFill>
            </a:ln>
            <a:effectLst/>
            <a:sp3d>
              <a:contourClr>
                <a:schemeClr val="accent1"/>
              </a:contourClr>
            </a:sp3d>
          </c:spPr>
          <c:invertIfNegative val="0"/>
          <c:cat>
            <c:strRef>
              <c:f>Sales_by_Store!$A$4:$A$8</c:f>
              <c:strCache>
                <c:ptCount val="4"/>
                <c:pt idx="0">
                  <c:v>Ahmedabad</c:v>
                </c:pt>
                <c:pt idx="1">
                  <c:v>Rajkot</c:v>
                </c:pt>
                <c:pt idx="2">
                  <c:v>Surat</c:v>
                </c:pt>
                <c:pt idx="3">
                  <c:v>Vadodara</c:v>
                </c:pt>
              </c:strCache>
            </c:strRef>
          </c:cat>
          <c:val>
            <c:numRef>
              <c:f>Sales_by_Store!$B$4:$B$8</c:f>
              <c:numCache>
                <c:formatCode>[$₹-4009]\ #,##0</c:formatCode>
                <c:ptCount val="4"/>
                <c:pt idx="0">
                  <c:v>1316000</c:v>
                </c:pt>
                <c:pt idx="1">
                  <c:v>1198000</c:v>
                </c:pt>
                <c:pt idx="2">
                  <c:v>1033000</c:v>
                </c:pt>
                <c:pt idx="3">
                  <c:v>1262000</c:v>
                </c:pt>
              </c:numCache>
            </c:numRef>
          </c:val>
          <c:extLst>
            <c:ext xmlns:c16="http://schemas.microsoft.com/office/drawing/2014/chart" uri="{C3380CC4-5D6E-409C-BE32-E72D297353CC}">
              <c16:uniqueId val="{00000000-D44F-4A74-8C80-2E2348C62030}"/>
            </c:ext>
          </c:extLst>
        </c:ser>
        <c:dLbls>
          <c:showLegendKey val="0"/>
          <c:showVal val="0"/>
          <c:showCatName val="0"/>
          <c:showSerName val="0"/>
          <c:showPercent val="0"/>
          <c:showBubbleSize val="0"/>
        </c:dLbls>
        <c:gapWidth val="150"/>
        <c:shape val="box"/>
        <c:axId val="1344140207"/>
        <c:axId val="1409534111"/>
        <c:axId val="0"/>
      </c:bar3DChart>
      <c:catAx>
        <c:axId val="134414020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t>Store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09534111"/>
        <c:crosses val="autoZero"/>
        <c:auto val="1"/>
        <c:lblAlgn val="ctr"/>
        <c:lblOffset val="100"/>
        <c:noMultiLvlLbl val="0"/>
      </c:catAx>
      <c:valAx>
        <c:axId val="140953411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t>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09]\ #,##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44140207"/>
        <c:crosses val="autoZero"/>
        <c:crossBetween val="between"/>
      </c:valAx>
      <c:dTable>
        <c:showHorzBorder val="1"/>
        <c:showVertBorder val="1"/>
        <c:showOutline val="1"/>
        <c:showKeys val="0"/>
        <c:spPr>
          <a:noFill/>
          <a:ln w="9525" cap="flat" cmpd="sng" algn="ctr">
            <a:solidFill>
              <a:schemeClr val="accent1"/>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 Retail Sales Company.xlsx]Sales_by_Category!PivotTable2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Sales by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outerShdw blurRad="152400" dist="317500" dir="5400000" sx="90000" sy="-19000" rotWithShape="0">
              <a:prstClr val="black">
                <a:alpha val="15000"/>
              </a:prstClr>
            </a:outerShdw>
          </a:effectLst>
          <a:sp3d contourW="25400">
            <a:contourClr>
              <a:schemeClr val="lt1"/>
            </a:contourClr>
          </a:sp3d>
        </c:spPr>
        <c:marker>
          <c:symbol val="none"/>
        </c:marke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Sales_by_Category!$B$3</c:f>
              <c:strCache>
                <c:ptCount val="1"/>
                <c:pt idx="0">
                  <c:v>Sum of Revenue</c:v>
                </c:pt>
              </c:strCache>
            </c:strRef>
          </c:tx>
          <c:spPr>
            <a:effectLst>
              <a:outerShdw blurRad="152400" dist="317500" dir="5400000" sx="90000" sy="-19000" rotWithShape="0">
                <a:prstClr val="black">
                  <a:alpha val="15000"/>
                </a:prstClr>
              </a:outerShdw>
            </a:effectLst>
          </c:spPr>
          <c:dPt>
            <c:idx val="0"/>
            <c:bubble3D val="0"/>
            <c:spPr>
              <a:solidFill>
                <a:schemeClr val="accent1"/>
              </a:solidFill>
              <a:ln w="25400">
                <a:solidFill>
                  <a:schemeClr val="lt1"/>
                </a:solidFill>
              </a:ln>
              <a:effectLst>
                <a:outerShdw blurRad="152400" dist="317500" dir="5400000" sx="90000" sy="-19000" rotWithShape="0">
                  <a:prstClr val="black">
                    <a:alpha val="15000"/>
                  </a:prstClr>
                </a:outerShdw>
              </a:effectLst>
              <a:sp3d contourW="25400">
                <a:contourClr>
                  <a:schemeClr val="lt1"/>
                </a:contourClr>
              </a:sp3d>
            </c:spPr>
          </c:dPt>
          <c:dPt>
            <c:idx val="1"/>
            <c:bubble3D val="0"/>
            <c:spPr>
              <a:solidFill>
                <a:schemeClr val="accent2"/>
              </a:solidFill>
              <a:ln w="25400">
                <a:solidFill>
                  <a:schemeClr val="lt1"/>
                </a:solidFill>
              </a:ln>
              <a:effectLst>
                <a:outerShdw blurRad="152400" dist="317500" dir="5400000" sx="90000" sy="-19000" rotWithShape="0">
                  <a:prstClr val="black">
                    <a:alpha val="15000"/>
                  </a:prstClr>
                </a:outerShdw>
              </a:effectLst>
              <a:sp3d contourW="25400">
                <a:contourClr>
                  <a:schemeClr val="lt1"/>
                </a:contourClr>
              </a:sp3d>
            </c:spPr>
          </c:dPt>
          <c:dPt>
            <c:idx val="2"/>
            <c:bubble3D val="0"/>
            <c:spPr>
              <a:solidFill>
                <a:schemeClr val="accent3"/>
              </a:solidFill>
              <a:ln w="25400">
                <a:solidFill>
                  <a:schemeClr val="lt1"/>
                </a:solidFill>
              </a:ln>
              <a:effectLst>
                <a:outerShdw blurRad="152400" dist="317500" dir="5400000" sx="90000" sy="-19000" rotWithShape="0">
                  <a:prstClr val="black">
                    <a:alpha val="15000"/>
                  </a:prstClr>
                </a:outerShdw>
              </a:effectLst>
              <a:sp3d contourW="25400">
                <a:contourClr>
                  <a:schemeClr val="lt1"/>
                </a:contourClr>
              </a:sp3d>
            </c:spPr>
          </c:dPt>
          <c:dLbls>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Sales_by_Category!$A$4:$A$7</c:f>
              <c:strCache>
                <c:ptCount val="3"/>
                <c:pt idx="0">
                  <c:v>Laptop</c:v>
                </c:pt>
                <c:pt idx="1">
                  <c:v>Mobile</c:v>
                </c:pt>
                <c:pt idx="2">
                  <c:v>Tablet</c:v>
                </c:pt>
              </c:strCache>
            </c:strRef>
          </c:cat>
          <c:val>
            <c:numRef>
              <c:f>Sales_by_Category!$B$4:$B$7</c:f>
              <c:numCache>
                <c:formatCode>[$₹-4009]\ #,##0</c:formatCode>
                <c:ptCount val="3"/>
                <c:pt idx="0">
                  <c:v>2321000</c:v>
                </c:pt>
                <c:pt idx="1">
                  <c:v>1564000</c:v>
                </c:pt>
                <c:pt idx="2">
                  <c:v>924000</c:v>
                </c:pt>
              </c:numCache>
            </c:numRef>
          </c:val>
          <c:extLst>
            <c:ext xmlns:c16="http://schemas.microsoft.com/office/drawing/2014/chart" uri="{C3380CC4-5D6E-409C-BE32-E72D297353CC}">
              <c16:uniqueId val="{00000000-8371-400E-BE58-D790395E9107}"/>
            </c:ext>
          </c:extLst>
        </c:ser>
        <c:ser>
          <c:idx val="1"/>
          <c:order val="1"/>
          <c:tx>
            <c:strRef>
              <c:f>Sales_by_Category!$C$3</c:f>
              <c:strCache>
                <c:ptCount val="1"/>
                <c:pt idx="0">
                  <c:v>Percentage</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Sales_by_Category!$A$4:$A$7</c:f>
              <c:strCache>
                <c:ptCount val="3"/>
                <c:pt idx="0">
                  <c:v>Laptop</c:v>
                </c:pt>
                <c:pt idx="1">
                  <c:v>Mobile</c:v>
                </c:pt>
                <c:pt idx="2">
                  <c:v>Tablet</c:v>
                </c:pt>
              </c:strCache>
            </c:strRef>
          </c:cat>
          <c:val>
            <c:numRef>
              <c:f>Sales_by_Category!$C$4:$C$7</c:f>
              <c:numCache>
                <c:formatCode>0.00%</c:formatCode>
                <c:ptCount val="3"/>
                <c:pt idx="0">
                  <c:v>0.4826367228113953</c:v>
                </c:pt>
                <c:pt idx="1">
                  <c:v>0.32522353919733832</c:v>
                </c:pt>
                <c:pt idx="2">
                  <c:v>0.19213973799126638</c:v>
                </c:pt>
              </c:numCache>
            </c:numRef>
          </c:val>
          <c:extLst>
            <c:ext xmlns:c16="http://schemas.microsoft.com/office/drawing/2014/chart" uri="{C3380CC4-5D6E-409C-BE32-E72D297353CC}">
              <c16:uniqueId val="{00000001-8371-400E-BE58-D790395E9107}"/>
            </c:ext>
          </c:extLst>
        </c:ser>
        <c:dLbls>
          <c:showLegendKey val="0"/>
          <c:showVal val="0"/>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 Retail Sales Company.xlsx]Monthly_Sales_Trend!PivotTable3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Monthly Sales Trend</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Monthly_Sales_Trend!$B$3</c:f>
              <c:strCache>
                <c:ptCount val="1"/>
                <c:pt idx="0">
                  <c:v>Total</c:v>
                </c:pt>
              </c:strCache>
            </c:strRef>
          </c:tx>
          <c:spPr>
            <a:ln w="28575" cap="rnd">
              <a:solidFill>
                <a:schemeClr val="accent1"/>
              </a:solidFill>
              <a:round/>
            </a:ln>
            <a:effectLst/>
          </c:spPr>
          <c:marker>
            <c:symbol val="none"/>
          </c:marker>
          <c:cat>
            <c:multiLvlStrRef>
              <c:f>Monthly_Sales_Trend!$A$4:$A$56</c:f>
              <c:multiLvlStrCache>
                <c:ptCount val="50"/>
                <c:lvl>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lvl>
                <c:lvl>
                  <c:pt idx="0">
                    <c:v>Jan</c:v>
                  </c:pt>
                  <c:pt idx="31">
                    <c:v>Feb</c:v>
                  </c:pt>
                </c:lvl>
              </c:multiLvlStrCache>
            </c:multiLvlStrRef>
          </c:cat>
          <c:val>
            <c:numRef>
              <c:f>Monthly_Sales_Trend!$B$4:$B$56</c:f>
              <c:numCache>
                <c:formatCode>[$₹-4009]\ #,##0</c:formatCode>
                <c:ptCount val="50"/>
                <c:pt idx="0">
                  <c:v>118000</c:v>
                </c:pt>
                <c:pt idx="1">
                  <c:v>106000</c:v>
                </c:pt>
                <c:pt idx="2">
                  <c:v>89000</c:v>
                </c:pt>
                <c:pt idx="3">
                  <c:v>78000</c:v>
                </c:pt>
                <c:pt idx="4">
                  <c:v>88000</c:v>
                </c:pt>
                <c:pt idx="5">
                  <c:v>156000</c:v>
                </c:pt>
                <c:pt idx="6">
                  <c:v>132000</c:v>
                </c:pt>
                <c:pt idx="7">
                  <c:v>62000</c:v>
                </c:pt>
                <c:pt idx="8">
                  <c:v>101000</c:v>
                </c:pt>
                <c:pt idx="9">
                  <c:v>88000</c:v>
                </c:pt>
                <c:pt idx="10">
                  <c:v>101000</c:v>
                </c:pt>
                <c:pt idx="11">
                  <c:v>76000</c:v>
                </c:pt>
                <c:pt idx="12">
                  <c:v>148000</c:v>
                </c:pt>
                <c:pt idx="13">
                  <c:v>73000</c:v>
                </c:pt>
                <c:pt idx="14">
                  <c:v>58000</c:v>
                </c:pt>
                <c:pt idx="15">
                  <c:v>108000</c:v>
                </c:pt>
                <c:pt idx="16">
                  <c:v>112000</c:v>
                </c:pt>
                <c:pt idx="17">
                  <c:v>80000</c:v>
                </c:pt>
                <c:pt idx="18">
                  <c:v>98000</c:v>
                </c:pt>
                <c:pt idx="19">
                  <c:v>73000</c:v>
                </c:pt>
                <c:pt idx="20">
                  <c:v>96000</c:v>
                </c:pt>
                <c:pt idx="21">
                  <c:v>74000</c:v>
                </c:pt>
                <c:pt idx="22">
                  <c:v>112000</c:v>
                </c:pt>
                <c:pt idx="23">
                  <c:v>188000</c:v>
                </c:pt>
                <c:pt idx="24">
                  <c:v>67000</c:v>
                </c:pt>
                <c:pt idx="25">
                  <c:v>108000</c:v>
                </c:pt>
                <c:pt idx="26">
                  <c:v>81000</c:v>
                </c:pt>
                <c:pt idx="27">
                  <c:v>72000</c:v>
                </c:pt>
                <c:pt idx="28">
                  <c:v>118000</c:v>
                </c:pt>
                <c:pt idx="29">
                  <c:v>108000</c:v>
                </c:pt>
                <c:pt idx="30">
                  <c:v>108000</c:v>
                </c:pt>
                <c:pt idx="31">
                  <c:v>58000</c:v>
                </c:pt>
                <c:pt idx="32">
                  <c:v>73000</c:v>
                </c:pt>
                <c:pt idx="33">
                  <c:v>62000</c:v>
                </c:pt>
                <c:pt idx="34">
                  <c:v>132000</c:v>
                </c:pt>
                <c:pt idx="35">
                  <c:v>111000</c:v>
                </c:pt>
                <c:pt idx="36">
                  <c:v>88000</c:v>
                </c:pt>
                <c:pt idx="37">
                  <c:v>78000</c:v>
                </c:pt>
                <c:pt idx="38">
                  <c:v>108000</c:v>
                </c:pt>
                <c:pt idx="39">
                  <c:v>78000</c:v>
                </c:pt>
                <c:pt idx="40">
                  <c:v>88000</c:v>
                </c:pt>
                <c:pt idx="41">
                  <c:v>89000</c:v>
                </c:pt>
                <c:pt idx="42">
                  <c:v>132000</c:v>
                </c:pt>
                <c:pt idx="43">
                  <c:v>76000</c:v>
                </c:pt>
                <c:pt idx="44">
                  <c:v>96000</c:v>
                </c:pt>
                <c:pt idx="45">
                  <c:v>118000</c:v>
                </c:pt>
                <c:pt idx="46">
                  <c:v>62000</c:v>
                </c:pt>
                <c:pt idx="47">
                  <c:v>80000</c:v>
                </c:pt>
                <c:pt idx="48">
                  <c:v>102000</c:v>
                </c:pt>
                <c:pt idx="49">
                  <c:v>101000</c:v>
                </c:pt>
              </c:numCache>
            </c:numRef>
          </c:val>
          <c:smooth val="0"/>
          <c:extLst>
            <c:ext xmlns:c16="http://schemas.microsoft.com/office/drawing/2014/chart" uri="{C3380CC4-5D6E-409C-BE32-E72D297353CC}">
              <c16:uniqueId val="{00000000-E3EC-4106-AA62-4BEEE33283DA}"/>
            </c:ext>
          </c:extLst>
        </c:ser>
        <c:dLbls>
          <c:showLegendKey val="0"/>
          <c:showVal val="0"/>
          <c:showCatName val="0"/>
          <c:showSerName val="0"/>
          <c:showPercent val="0"/>
          <c:showBubbleSize val="0"/>
        </c:dLbls>
        <c:smooth val="0"/>
        <c:axId val="1350122127"/>
        <c:axId val="1350120047"/>
      </c:lineChart>
      <c:catAx>
        <c:axId val="13501221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t>Dates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50120047"/>
        <c:crosses val="autoZero"/>
        <c:auto val="1"/>
        <c:lblAlgn val="ctr"/>
        <c:lblOffset val="100"/>
        <c:noMultiLvlLbl val="0"/>
      </c:catAx>
      <c:valAx>
        <c:axId val="13501200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50122127"/>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 Retail Sales Company.xlsx]Top_5_Customers_by_Revenue!PivotTable4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Top 5 Customers by Revenue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Top_5_Customers_by_Revenue!$B$3</c:f>
              <c:strCache>
                <c:ptCount val="1"/>
                <c:pt idx="0">
                  <c:v>Total</c:v>
                </c:pt>
              </c:strCache>
            </c:strRef>
          </c:tx>
          <c:spPr>
            <a:solidFill>
              <a:schemeClr val="accent1"/>
            </a:solidFill>
            <a:ln>
              <a:noFill/>
            </a:ln>
            <a:effectLst/>
            <a:sp3d/>
          </c:spPr>
          <c:invertIfNegative val="0"/>
          <c:cat>
            <c:strRef>
              <c:f>Top_5_Customers_by_Revenue!$A$4:$A$9</c:f>
              <c:strCache>
                <c:ptCount val="5"/>
                <c:pt idx="0">
                  <c:v>Rahul Mehta</c:v>
                </c:pt>
                <c:pt idx="1">
                  <c:v>Jay Patel</c:v>
                </c:pt>
                <c:pt idx="2">
                  <c:v>Amit Shah</c:v>
                </c:pt>
                <c:pt idx="3">
                  <c:v>Priya Patel</c:v>
                </c:pt>
                <c:pt idx="4">
                  <c:v>Neha Joshi</c:v>
                </c:pt>
              </c:strCache>
            </c:strRef>
          </c:cat>
          <c:val>
            <c:numRef>
              <c:f>Top_5_Customers_by_Revenue!$B$4:$B$9</c:f>
              <c:numCache>
                <c:formatCode>[$₹-4009]\ #,##0</c:formatCode>
                <c:ptCount val="5"/>
                <c:pt idx="0">
                  <c:v>788000</c:v>
                </c:pt>
                <c:pt idx="1">
                  <c:v>703000</c:v>
                </c:pt>
                <c:pt idx="2">
                  <c:v>658000</c:v>
                </c:pt>
                <c:pt idx="3">
                  <c:v>633000</c:v>
                </c:pt>
                <c:pt idx="4">
                  <c:v>581000</c:v>
                </c:pt>
              </c:numCache>
            </c:numRef>
          </c:val>
          <c:extLst>
            <c:ext xmlns:c16="http://schemas.microsoft.com/office/drawing/2014/chart" uri="{C3380CC4-5D6E-409C-BE32-E72D297353CC}">
              <c16:uniqueId val="{00000000-3DC5-49FE-ACA7-46ADB8BCB921}"/>
            </c:ext>
          </c:extLst>
        </c:ser>
        <c:dLbls>
          <c:showLegendKey val="0"/>
          <c:showVal val="0"/>
          <c:showCatName val="0"/>
          <c:showSerName val="0"/>
          <c:showPercent val="0"/>
          <c:showBubbleSize val="0"/>
        </c:dLbls>
        <c:gapWidth val="150"/>
        <c:shape val="box"/>
        <c:axId val="1407774847"/>
        <c:axId val="1407776511"/>
        <c:axId val="0"/>
      </c:bar3DChart>
      <c:catAx>
        <c:axId val="14077748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t>Customer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07776511"/>
        <c:crosses val="autoZero"/>
        <c:auto val="1"/>
        <c:lblAlgn val="ctr"/>
        <c:lblOffset val="100"/>
        <c:noMultiLvlLbl val="0"/>
      </c:catAx>
      <c:valAx>
        <c:axId val="140777651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t>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07774847"/>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 Retail Sales Company.xlsx]Sales_by_Store!PivotTable1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Sales by Store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Sales_by_Store!$B$3</c:f>
              <c:strCache>
                <c:ptCount val="1"/>
                <c:pt idx="0">
                  <c:v>Total</c:v>
                </c:pt>
              </c:strCache>
            </c:strRef>
          </c:tx>
          <c:spPr>
            <a:solidFill>
              <a:schemeClr val="accent1"/>
            </a:solidFill>
            <a:ln>
              <a:solidFill>
                <a:schemeClr val="accent1"/>
              </a:solidFill>
            </a:ln>
            <a:effectLst/>
            <a:sp3d>
              <a:contourClr>
                <a:schemeClr val="accent1"/>
              </a:contourClr>
            </a:sp3d>
          </c:spPr>
          <c:invertIfNegative val="0"/>
          <c:cat>
            <c:strRef>
              <c:f>Sales_by_Store!$A$4:$A$8</c:f>
              <c:strCache>
                <c:ptCount val="4"/>
                <c:pt idx="0">
                  <c:v>Ahmedabad</c:v>
                </c:pt>
                <c:pt idx="1">
                  <c:v>Rajkot</c:v>
                </c:pt>
                <c:pt idx="2">
                  <c:v>Surat</c:v>
                </c:pt>
                <c:pt idx="3">
                  <c:v>Vadodara</c:v>
                </c:pt>
              </c:strCache>
            </c:strRef>
          </c:cat>
          <c:val>
            <c:numRef>
              <c:f>Sales_by_Store!$B$4:$B$8</c:f>
              <c:numCache>
                <c:formatCode>[$₹-4009]\ #,##0</c:formatCode>
                <c:ptCount val="4"/>
                <c:pt idx="0">
                  <c:v>1316000</c:v>
                </c:pt>
                <c:pt idx="1">
                  <c:v>1198000</c:v>
                </c:pt>
                <c:pt idx="2">
                  <c:v>1033000</c:v>
                </c:pt>
                <c:pt idx="3">
                  <c:v>1262000</c:v>
                </c:pt>
              </c:numCache>
            </c:numRef>
          </c:val>
          <c:extLst>
            <c:ext xmlns:c16="http://schemas.microsoft.com/office/drawing/2014/chart" uri="{C3380CC4-5D6E-409C-BE32-E72D297353CC}">
              <c16:uniqueId val="{00000000-6649-4E6C-B275-FFE8FF92A733}"/>
            </c:ext>
          </c:extLst>
        </c:ser>
        <c:dLbls>
          <c:showLegendKey val="0"/>
          <c:showVal val="0"/>
          <c:showCatName val="0"/>
          <c:showSerName val="0"/>
          <c:showPercent val="0"/>
          <c:showBubbleSize val="0"/>
        </c:dLbls>
        <c:gapWidth val="150"/>
        <c:shape val="box"/>
        <c:axId val="1344140207"/>
        <c:axId val="1409534111"/>
        <c:axId val="0"/>
      </c:bar3DChart>
      <c:catAx>
        <c:axId val="134414020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t>Store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09534111"/>
        <c:crosses val="autoZero"/>
        <c:auto val="1"/>
        <c:lblAlgn val="ctr"/>
        <c:lblOffset val="100"/>
        <c:noMultiLvlLbl val="0"/>
      </c:catAx>
      <c:valAx>
        <c:axId val="140953411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t>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09]\ #,##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44140207"/>
        <c:crosses val="autoZero"/>
        <c:crossBetween val="between"/>
      </c:valAx>
      <c:dTable>
        <c:showHorzBorder val="1"/>
        <c:showVertBorder val="1"/>
        <c:showOutline val="1"/>
        <c:showKeys val="0"/>
        <c:spPr>
          <a:noFill/>
          <a:ln w="9525" cap="flat" cmpd="sng" algn="ctr">
            <a:solidFill>
              <a:schemeClr val="accent1"/>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 Retail Sales Company.xlsx]Sales_by_Category!PivotTable2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Sales by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outerShdw blurRad="152400" dist="317500" dir="5400000" sx="90000" sy="-19000" rotWithShape="0">
              <a:prstClr val="black">
                <a:alpha val="15000"/>
              </a:prstClr>
            </a:outerShdw>
          </a:effectLst>
          <a:sp3d contourW="25400">
            <a:contourClr>
              <a:schemeClr val="lt1"/>
            </a:contourClr>
          </a:sp3d>
        </c:spP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dLbl>
      </c:pivotFmt>
      <c:pivotFmt>
        <c:idx val="1"/>
        <c:spPr>
          <a:solidFill>
            <a:schemeClr val="accent1"/>
          </a:solidFill>
          <a:ln w="25400">
            <a:solidFill>
              <a:schemeClr val="lt1"/>
            </a:solidFill>
          </a:ln>
          <a:effectLst/>
          <a:sp3d contourW="25400">
            <a:contourClr>
              <a:schemeClr val="lt1"/>
            </a:contourClr>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2"/>
        <c:spPr>
          <a:solidFill>
            <a:schemeClr val="accent1"/>
          </a:solidFill>
          <a:ln w="25400">
            <a:solidFill>
              <a:schemeClr val="lt1"/>
            </a:solidFill>
          </a:ln>
          <a:effectLst>
            <a:outerShdw blurRad="152400" dist="317500" dir="5400000" sx="90000" sy="-19000" rotWithShape="0">
              <a:prstClr val="black">
                <a:alpha val="15000"/>
              </a:prstClr>
            </a:outerShdw>
          </a:effectLst>
          <a:sp3d contourW="25400">
            <a:contourClr>
              <a:schemeClr val="lt1"/>
            </a:contourClr>
          </a:sp3d>
        </c:spP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dLbl>
      </c:pivotFmt>
      <c:pivotFmt>
        <c:idx val="3"/>
        <c:spPr>
          <a:solidFill>
            <a:schemeClr val="accent1"/>
          </a:solidFill>
          <a:ln w="25400">
            <a:solidFill>
              <a:schemeClr val="lt1"/>
            </a:solidFill>
          </a:ln>
          <a:effectLst>
            <a:outerShdw blurRad="152400" dist="317500" dir="5400000" sx="90000" sy="-19000" rotWithShape="0">
              <a:prstClr val="black">
                <a:alpha val="15000"/>
              </a:prstClr>
            </a:outerShdw>
          </a:effectLst>
          <a:sp3d contourW="25400">
            <a:contourClr>
              <a:schemeClr val="lt1"/>
            </a:contourClr>
          </a:sp3d>
        </c:spPr>
      </c:pivotFmt>
      <c:pivotFmt>
        <c:idx val="4"/>
        <c:spPr>
          <a:solidFill>
            <a:schemeClr val="accent1"/>
          </a:solidFill>
          <a:ln w="25400">
            <a:solidFill>
              <a:schemeClr val="lt1"/>
            </a:solidFill>
          </a:ln>
          <a:effectLst>
            <a:outerShdw blurRad="152400" dist="317500" dir="5400000" sx="90000" sy="-19000" rotWithShape="0">
              <a:prstClr val="black">
                <a:alpha val="15000"/>
              </a:prstClr>
            </a:outerShdw>
          </a:effectLst>
          <a:sp3d contourW="25400">
            <a:contourClr>
              <a:schemeClr val="lt1"/>
            </a:contourClr>
          </a:sp3d>
        </c:spPr>
      </c:pivotFmt>
      <c:pivotFmt>
        <c:idx val="5"/>
        <c:spPr>
          <a:solidFill>
            <a:schemeClr val="accent1"/>
          </a:solidFill>
          <a:ln w="25400">
            <a:solidFill>
              <a:schemeClr val="lt1"/>
            </a:solidFill>
          </a:ln>
          <a:effectLst>
            <a:outerShdw blurRad="152400" dist="317500" dir="5400000" sx="90000" sy="-19000" rotWithShape="0">
              <a:prstClr val="black">
                <a:alpha val="15000"/>
              </a:prstClr>
            </a:outerShdw>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outerShdw blurRad="152400" dist="317500" dir="5400000" sx="90000" sy="-19000" rotWithShape="0">
              <a:prstClr val="black">
                <a:alpha val="15000"/>
              </a:prstClr>
            </a:outerShdw>
          </a:effectLst>
          <a:sp3d contourW="25400">
            <a:contourClr>
              <a:schemeClr val="lt1"/>
            </a:contourClr>
          </a:sp3d>
        </c:spPr>
        <c:marker>
          <c:symbol val="none"/>
        </c:marke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25400">
            <a:solidFill>
              <a:schemeClr val="lt1"/>
            </a:solidFill>
          </a:ln>
          <a:effectLst>
            <a:outerShdw blurRad="152400" dist="317500" dir="5400000" sx="90000" sy="-19000" rotWithShape="0">
              <a:prstClr val="black">
                <a:alpha val="15000"/>
              </a:prstClr>
            </a:outerShdw>
          </a:effectLst>
          <a:sp3d contourW="25400">
            <a:contourClr>
              <a:schemeClr val="lt1"/>
            </a:contourClr>
          </a:sp3d>
        </c:spPr>
      </c:pivotFmt>
      <c:pivotFmt>
        <c:idx val="12"/>
        <c:spPr>
          <a:solidFill>
            <a:schemeClr val="accent1"/>
          </a:solidFill>
          <a:ln w="25400">
            <a:solidFill>
              <a:schemeClr val="lt1"/>
            </a:solidFill>
          </a:ln>
          <a:effectLst>
            <a:outerShdw blurRad="152400" dist="317500" dir="5400000" sx="90000" sy="-19000" rotWithShape="0">
              <a:prstClr val="black">
                <a:alpha val="15000"/>
              </a:prstClr>
            </a:outerShdw>
          </a:effectLst>
          <a:sp3d contourW="25400">
            <a:contourClr>
              <a:schemeClr val="lt1"/>
            </a:contourClr>
          </a:sp3d>
        </c:spPr>
      </c:pivotFmt>
      <c:pivotFmt>
        <c:idx val="13"/>
        <c:spPr>
          <a:solidFill>
            <a:schemeClr val="accent1"/>
          </a:solidFill>
          <a:ln w="25400">
            <a:solidFill>
              <a:schemeClr val="lt1"/>
            </a:solidFill>
          </a:ln>
          <a:effectLst>
            <a:outerShdw blurRad="152400" dist="317500" dir="5400000" sx="90000" sy="-19000" rotWithShape="0">
              <a:prstClr val="black">
                <a:alpha val="15000"/>
              </a:prstClr>
            </a:outerShdw>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Sales_by_Category!$B$3</c:f>
              <c:strCache>
                <c:ptCount val="1"/>
                <c:pt idx="0">
                  <c:v>Sum of Revenue</c:v>
                </c:pt>
              </c:strCache>
            </c:strRef>
          </c:tx>
          <c:spPr>
            <a:effectLst>
              <a:outerShdw blurRad="152400" dist="317500" dir="5400000" sx="90000" sy="-19000" rotWithShape="0">
                <a:prstClr val="black">
                  <a:alpha val="15000"/>
                </a:prstClr>
              </a:outerShdw>
            </a:effectLst>
          </c:spPr>
          <c:dPt>
            <c:idx val="0"/>
            <c:bubble3D val="0"/>
            <c:spPr>
              <a:solidFill>
                <a:schemeClr val="accent1"/>
              </a:solidFill>
              <a:ln w="25400">
                <a:solidFill>
                  <a:schemeClr val="lt1"/>
                </a:solidFill>
              </a:ln>
              <a:effectLst>
                <a:outerShdw blurRad="152400" dist="317500" dir="5400000" sx="90000" sy="-19000" rotWithShape="0">
                  <a:prstClr val="black">
                    <a:alpha val="15000"/>
                  </a:prstClr>
                </a:outerShdw>
              </a:effectLst>
              <a:sp3d contourW="25400">
                <a:contourClr>
                  <a:schemeClr val="lt1"/>
                </a:contourClr>
              </a:sp3d>
            </c:spPr>
            <c:extLst>
              <c:ext xmlns:c16="http://schemas.microsoft.com/office/drawing/2014/chart" uri="{C3380CC4-5D6E-409C-BE32-E72D297353CC}">
                <c16:uniqueId val="{00000001-F27D-47D1-ADB7-8EC5A0691524}"/>
              </c:ext>
            </c:extLst>
          </c:dPt>
          <c:dPt>
            <c:idx val="1"/>
            <c:bubble3D val="0"/>
            <c:spPr>
              <a:solidFill>
                <a:schemeClr val="accent2"/>
              </a:solidFill>
              <a:ln w="25400">
                <a:solidFill>
                  <a:schemeClr val="lt1"/>
                </a:solidFill>
              </a:ln>
              <a:effectLst>
                <a:outerShdw blurRad="152400" dist="317500" dir="5400000" sx="90000" sy="-19000" rotWithShape="0">
                  <a:prstClr val="black">
                    <a:alpha val="15000"/>
                  </a:prstClr>
                </a:outerShdw>
              </a:effectLst>
              <a:sp3d contourW="25400">
                <a:contourClr>
                  <a:schemeClr val="lt1"/>
                </a:contourClr>
              </a:sp3d>
            </c:spPr>
            <c:extLst>
              <c:ext xmlns:c16="http://schemas.microsoft.com/office/drawing/2014/chart" uri="{C3380CC4-5D6E-409C-BE32-E72D297353CC}">
                <c16:uniqueId val="{00000003-F27D-47D1-ADB7-8EC5A0691524}"/>
              </c:ext>
            </c:extLst>
          </c:dPt>
          <c:dPt>
            <c:idx val="2"/>
            <c:bubble3D val="0"/>
            <c:spPr>
              <a:solidFill>
                <a:schemeClr val="accent3"/>
              </a:solidFill>
              <a:ln w="25400">
                <a:solidFill>
                  <a:schemeClr val="lt1"/>
                </a:solidFill>
              </a:ln>
              <a:effectLst>
                <a:outerShdw blurRad="152400" dist="317500" dir="5400000" sx="90000" sy="-19000" rotWithShape="0">
                  <a:prstClr val="black">
                    <a:alpha val="15000"/>
                  </a:prstClr>
                </a:outerShdw>
              </a:effectLst>
              <a:sp3d contourW="25400">
                <a:contourClr>
                  <a:schemeClr val="lt1"/>
                </a:contourClr>
              </a:sp3d>
            </c:spPr>
            <c:extLst>
              <c:ext xmlns:c16="http://schemas.microsoft.com/office/drawing/2014/chart" uri="{C3380CC4-5D6E-409C-BE32-E72D297353CC}">
                <c16:uniqueId val="{00000005-F27D-47D1-ADB7-8EC5A0691524}"/>
              </c:ext>
            </c:extLst>
          </c:dPt>
          <c:dLbls>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Sales_by_Category!$A$4:$A$7</c:f>
              <c:strCache>
                <c:ptCount val="3"/>
                <c:pt idx="0">
                  <c:v>Laptop</c:v>
                </c:pt>
                <c:pt idx="1">
                  <c:v>Mobile</c:v>
                </c:pt>
                <c:pt idx="2">
                  <c:v>Tablet</c:v>
                </c:pt>
              </c:strCache>
            </c:strRef>
          </c:cat>
          <c:val>
            <c:numRef>
              <c:f>Sales_by_Category!$B$4:$B$7</c:f>
              <c:numCache>
                <c:formatCode>[$₹-4009]\ #,##0</c:formatCode>
                <c:ptCount val="3"/>
                <c:pt idx="0">
                  <c:v>2321000</c:v>
                </c:pt>
                <c:pt idx="1">
                  <c:v>1564000</c:v>
                </c:pt>
                <c:pt idx="2">
                  <c:v>924000</c:v>
                </c:pt>
              </c:numCache>
            </c:numRef>
          </c:val>
          <c:extLst>
            <c:ext xmlns:c16="http://schemas.microsoft.com/office/drawing/2014/chart" uri="{C3380CC4-5D6E-409C-BE32-E72D297353CC}">
              <c16:uniqueId val="{00000006-F27D-47D1-ADB7-8EC5A0691524}"/>
            </c:ext>
          </c:extLst>
        </c:ser>
        <c:ser>
          <c:idx val="1"/>
          <c:order val="1"/>
          <c:tx>
            <c:strRef>
              <c:f>Sales_by_Category!$C$3</c:f>
              <c:strCache>
                <c:ptCount val="1"/>
                <c:pt idx="0">
                  <c:v>Percentage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8-F27D-47D1-ADB7-8EC5A069152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A-F27D-47D1-ADB7-8EC5A069152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C-F27D-47D1-ADB7-8EC5A069152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Sales_by_Category!$A$4:$A$7</c:f>
              <c:strCache>
                <c:ptCount val="3"/>
                <c:pt idx="0">
                  <c:v>Laptop</c:v>
                </c:pt>
                <c:pt idx="1">
                  <c:v>Mobile</c:v>
                </c:pt>
                <c:pt idx="2">
                  <c:v>Tablet</c:v>
                </c:pt>
              </c:strCache>
            </c:strRef>
          </c:cat>
          <c:val>
            <c:numRef>
              <c:f>Sales_by_Category!$C$4:$C$7</c:f>
              <c:numCache>
                <c:formatCode>0.00%</c:formatCode>
                <c:ptCount val="3"/>
                <c:pt idx="0">
                  <c:v>0.4826367228113953</c:v>
                </c:pt>
                <c:pt idx="1">
                  <c:v>0.32522353919733832</c:v>
                </c:pt>
                <c:pt idx="2">
                  <c:v>0.19213973799126638</c:v>
                </c:pt>
              </c:numCache>
            </c:numRef>
          </c:val>
          <c:extLst>
            <c:ext xmlns:c16="http://schemas.microsoft.com/office/drawing/2014/chart" uri="{C3380CC4-5D6E-409C-BE32-E72D297353CC}">
              <c16:uniqueId val="{0000000D-F27D-47D1-ADB7-8EC5A0691524}"/>
            </c:ext>
          </c:extLst>
        </c:ser>
        <c:dLbls>
          <c:showLegendKey val="0"/>
          <c:showVal val="0"/>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 Retail Sales Company.xlsx]Monthly_Sales_Trend!PivotTable3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Monthly Sales Trend</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Monthly_Sales_Trend!$B$3</c:f>
              <c:strCache>
                <c:ptCount val="1"/>
                <c:pt idx="0">
                  <c:v>Total</c:v>
                </c:pt>
              </c:strCache>
            </c:strRef>
          </c:tx>
          <c:spPr>
            <a:ln w="28575" cap="rnd">
              <a:solidFill>
                <a:schemeClr val="accent1"/>
              </a:solidFill>
              <a:round/>
            </a:ln>
            <a:effectLst/>
          </c:spPr>
          <c:marker>
            <c:symbol val="none"/>
          </c:marker>
          <c:cat>
            <c:multiLvlStrRef>
              <c:f>Monthly_Sales_Trend!$A$4:$A$56</c:f>
              <c:multiLvlStrCache>
                <c:ptCount val="50"/>
                <c:lvl>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lvl>
                <c:lvl>
                  <c:pt idx="0">
                    <c:v>Jan</c:v>
                  </c:pt>
                  <c:pt idx="31">
                    <c:v>Feb</c:v>
                  </c:pt>
                </c:lvl>
              </c:multiLvlStrCache>
            </c:multiLvlStrRef>
          </c:cat>
          <c:val>
            <c:numRef>
              <c:f>Monthly_Sales_Trend!$B$4:$B$56</c:f>
              <c:numCache>
                <c:formatCode>[$₹-4009]\ #,##0</c:formatCode>
                <c:ptCount val="50"/>
                <c:pt idx="0">
                  <c:v>118000</c:v>
                </c:pt>
                <c:pt idx="1">
                  <c:v>106000</c:v>
                </c:pt>
                <c:pt idx="2">
                  <c:v>89000</c:v>
                </c:pt>
                <c:pt idx="3">
                  <c:v>78000</c:v>
                </c:pt>
                <c:pt idx="4">
                  <c:v>88000</c:v>
                </c:pt>
                <c:pt idx="5">
                  <c:v>156000</c:v>
                </c:pt>
                <c:pt idx="6">
                  <c:v>132000</c:v>
                </c:pt>
                <c:pt idx="7">
                  <c:v>62000</c:v>
                </c:pt>
                <c:pt idx="8">
                  <c:v>101000</c:v>
                </c:pt>
                <c:pt idx="9">
                  <c:v>88000</c:v>
                </c:pt>
                <c:pt idx="10">
                  <c:v>101000</c:v>
                </c:pt>
                <c:pt idx="11">
                  <c:v>76000</c:v>
                </c:pt>
                <c:pt idx="12">
                  <c:v>148000</c:v>
                </c:pt>
                <c:pt idx="13">
                  <c:v>73000</c:v>
                </c:pt>
                <c:pt idx="14">
                  <c:v>58000</c:v>
                </c:pt>
                <c:pt idx="15">
                  <c:v>108000</c:v>
                </c:pt>
                <c:pt idx="16">
                  <c:v>112000</c:v>
                </c:pt>
                <c:pt idx="17">
                  <c:v>80000</c:v>
                </c:pt>
                <c:pt idx="18">
                  <c:v>98000</c:v>
                </c:pt>
                <c:pt idx="19">
                  <c:v>73000</c:v>
                </c:pt>
                <c:pt idx="20">
                  <c:v>96000</c:v>
                </c:pt>
                <c:pt idx="21">
                  <c:v>74000</c:v>
                </c:pt>
                <c:pt idx="22">
                  <c:v>112000</c:v>
                </c:pt>
                <c:pt idx="23">
                  <c:v>188000</c:v>
                </c:pt>
                <c:pt idx="24">
                  <c:v>67000</c:v>
                </c:pt>
                <c:pt idx="25">
                  <c:v>108000</c:v>
                </c:pt>
                <c:pt idx="26">
                  <c:v>81000</c:v>
                </c:pt>
                <c:pt idx="27">
                  <c:v>72000</c:v>
                </c:pt>
                <c:pt idx="28">
                  <c:v>118000</c:v>
                </c:pt>
                <c:pt idx="29">
                  <c:v>108000</c:v>
                </c:pt>
                <c:pt idx="30">
                  <c:v>108000</c:v>
                </c:pt>
                <c:pt idx="31">
                  <c:v>58000</c:v>
                </c:pt>
                <c:pt idx="32">
                  <c:v>73000</c:v>
                </c:pt>
                <c:pt idx="33">
                  <c:v>62000</c:v>
                </c:pt>
                <c:pt idx="34">
                  <c:v>132000</c:v>
                </c:pt>
                <c:pt idx="35">
                  <c:v>111000</c:v>
                </c:pt>
                <c:pt idx="36">
                  <c:v>88000</c:v>
                </c:pt>
                <c:pt idx="37">
                  <c:v>78000</c:v>
                </c:pt>
                <c:pt idx="38">
                  <c:v>108000</c:v>
                </c:pt>
                <c:pt idx="39">
                  <c:v>78000</c:v>
                </c:pt>
                <c:pt idx="40">
                  <c:v>88000</c:v>
                </c:pt>
                <c:pt idx="41">
                  <c:v>89000</c:v>
                </c:pt>
                <c:pt idx="42">
                  <c:v>132000</c:v>
                </c:pt>
                <c:pt idx="43">
                  <c:v>76000</c:v>
                </c:pt>
                <c:pt idx="44">
                  <c:v>96000</c:v>
                </c:pt>
                <c:pt idx="45">
                  <c:v>118000</c:v>
                </c:pt>
                <c:pt idx="46">
                  <c:v>62000</c:v>
                </c:pt>
                <c:pt idx="47">
                  <c:v>80000</c:v>
                </c:pt>
                <c:pt idx="48">
                  <c:v>102000</c:v>
                </c:pt>
                <c:pt idx="49">
                  <c:v>101000</c:v>
                </c:pt>
              </c:numCache>
            </c:numRef>
          </c:val>
          <c:smooth val="0"/>
          <c:extLst>
            <c:ext xmlns:c16="http://schemas.microsoft.com/office/drawing/2014/chart" uri="{C3380CC4-5D6E-409C-BE32-E72D297353CC}">
              <c16:uniqueId val="{00000000-8B47-49CF-A207-6FC071E95A11}"/>
            </c:ext>
          </c:extLst>
        </c:ser>
        <c:dLbls>
          <c:showLegendKey val="0"/>
          <c:showVal val="0"/>
          <c:showCatName val="0"/>
          <c:showSerName val="0"/>
          <c:showPercent val="0"/>
          <c:showBubbleSize val="0"/>
        </c:dLbls>
        <c:smooth val="0"/>
        <c:axId val="1350122127"/>
        <c:axId val="1350120047"/>
      </c:lineChart>
      <c:catAx>
        <c:axId val="13501221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t>Dates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50120047"/>
        <c:crosses val="autoZero"/>
        <c:auto val="1"/>
        <c:lblAlgn val="ctr"/>
        <c:lblOffset val="100"/>
        <c:noMultiLvlLbl val="0"/>
      </c:catAx>
      <c:valAx>
        <c:axId val="13501200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50122127"/>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 Retail Sales Company.xlsx]Top_5_Customers_by_Revenue!PivotTable4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Top 5 Customers by Revenue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Top_5_Customers_by_Revenue!$B$3</c:f>
              <c:strCache>
                <c:ptCount val="1"/>
                <c:pt idx="0">
                  <c:v>Total</c:v>
                </c:pt>
              </c:strCache>
            </c:strRef>
          </c:tx>
          <c:spPr>
            <a:solidFill>
              <a:schemeClr val="accent1"/>
            </a:solidFill>
            <a:ln>
              <a:noFill/>
            </a:ln>
            <a:effectLst/>
            <a:sp3d/>
          </c:spPr>
          <c:invertIfNegative val="0"/>
          <c:cat>
            <c:strRef>
              <c:f>Top_5_Customers_by_Revenue!$A$4:$A$9</c:f>
              <c:strCache>
                <c:ptCount val="5"/>
                <c:pt idx="0">
                  <c:v>Rahul Mehta</c:v>
                </c:pt>
                <c:pt idx="1">
                  <c:v>Jay Patel</c:v>
                </c:pt>
                <c:pt idx="2">
                  <c:v>Amit Shah</c:v>
                </c:pt>
                <c:pt idx="3">
                  <c:v>Priya Patel</c:v>
                </c:pt>
                <c:pt idx="4">
                  <c:v>Neha Joshi</c:v>
                </c:pt>
              </c:strCache>
            </c:strRef>
          </c:cat>
          <c:val>
            <c:numRef>
              <c:f>Top_5_Customers_by_Revenue!$B$4:$B$9</c:f>
              <c:numCache>
                <c:formatCode>[$₹-4009]\ #,##0</c:formatCode>
                <c:ptCount val="5"/>
                <c:pt idx="0">
                  <c:v>788000</c:v>
                </c:pt>
                <c:pt idx="1">
                  <c:v>703000</c:v>
                </c:pt>
                <c:pt idx="2">
                  <c:v>658000</c:v>
                </c:pt>
                <c:pt idx="3">
                  <c:v>633000</c:v>
                </c:pt>
                <c:pt idx="4">
                  <c:v>581000</c:v>
                </c:pt>
              </c:numCache>
            </c:numRef>
          </c:val>
          <c:extLst>
            <c:ext xmlns:c16="http://schemas.microsoft.com/office/drawing/2014/chart" uri="{C3380CC4-5D6E-409C-BE32-E72D297353CC}">
              <c16:uniqueId val="{00000000-3E75-4EA7-8220-A0E99E6BC1EA}"/>
            </c:ext>
          </c:extLst>
        </c:ser>
        <c:dLbls>
          <c:showLegendKey val="0"/>
          <c:showVal val="0"/>
          <c:showCatName val="0"/>
          <c:showSerName val="0"/>
          <c:showPercent val="0"/>
          <c:showBubbleSize val="0"/>
        </c:dLbls>
        <c:gapWidth val="150"/>
        <c:shape val="box"/>
        <c:axId val="1407774847"/>
        <c:axId val="1407776511"/>
        <c:axId val="0"/>
      </c:bar3DChart>
      <c:catAx>
        <c:axId val="14077748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t>Customer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07776511"/>
        <c:crosses val="autoZero"/>
        <c:auto val="1"/>
        <c:lblAlgn val="ctr"/>
        <c:lblOffset val="100"/>
        <c:noMultiLvlLbl val="0"/>
      </c:catAx>
      <c:valAx>
        <c:axId val="140777651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t>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07774847"/>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4761</xdr:rowOff>
    </xdr:from>
    <xdr:to>
      <xdr:col>12</xdr:col>
      <xdr:colOff>466725</xdr:colOff>
      <xdr:row>17</xdr:row>
      <xdr:rowOff>66674</xdr:rowOff>
    </xdr:to>
    <xdr:graphicFrame macro="">
      <xdr:nvGraphicFramePr>
        <xdr:cNvPr id="2" name="Sales by Store">
          <a:extLst>
            <a:ext uri="{FF2B5EF4-FFF2-40B4-BE49-F238E27FC236}">
              <a16:creationId xmlns:a16="http://schemas.microsoft.com/office/drawing/2014/main" id="{641F61D3-D9A4-4957-B714-FA1EA5C85F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9525</xdr:colOff>
      <xdr:row>1</xdr:row>
      <xdr:rowOff>185737</xdr:rowOff>
    </xdr:from>
    <xdr:to>
      <xdr:col>11</xdr:col>
      <xdr:colOff>314325</xdr:colOff>
      <xdr:row>16</xdr:row>
      <xdr:rowOff>71437</xdr:rowOff>
    </xdr:to>
    <xdr:graphicFrame macro="">
      <xdr:nvGraphicFramePr>
        <xdr:cNvPr id="2" name="Sales by Category">
          <a:extLst>
            <a:ext uri="{FF2B5EF4-FFF2-40B4-BE49-F238E27FC236}">
              <a16:creationId xmlns:a16="http://schemas.microsoft.com/office/drawing/2014/main" id="{A5680B4E-F757-4131-963D-3687D20F0F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9525</xdr:colOff>
      <xdr:row>2</xdr:row>
      <xdr:rowOff>14287</xdr:rowOff>
    </xdr:from>
    <xdr:to>
      <xdr:col>11</xdr:col>
      <xdr:colOff>600075</xdr:colOff>
      <xdr:row>20</xdr:row>
      <xdr:rowOff>9525</xdr:rowOff>
    </xdr:to>
    <xdr:graphicFrame macro="">
      <xdr:nvGraphicFramePr>
        <xdr:cNvPr id="2" name="Monthly Sales Trend">
          <a:extLst>
            <a:ext uri="{FF2B5EF4-FFF2-40B4-BE49-F238E27FC236}">
              <a16:creationId xmlns:a16="http://schemas.microsoft.com/office/drawing/2014/main" id="{5B2F2A1E-12D7-4F82-A33E-46A768FA2C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1</xdr:row>
      <xdr:rowOff>4762</xdr:rowOff>
    </xdr:from>
    <xdr:to>
      <xdr:col>11</xdr:col>
      <xdr:colOff>247650</xdr:colOff>
      <xdr:row>17</xdr:row>
      <xdr:rowOff>0</xdr:rowOff>
    </xdr:to>
    <xdr:graphicFrame macro="">
      <xdr:nvGraphicFramePr>
        <xdr:cNvPr id="2" name="Top 5 Customers by Revenue">
          <a:extLst>
            <a:ext uri="{FF2B5EF4-FFF2-40B4-BE49-F238E27FC236}">
              <a16:creationId xmlns:a16="http://schemas.microsoft.com/office/drawing/2014/main" id="{627CD78E-EA3E-433F-8836-77D6949D0F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57150</xdr:colOff>
      <xdr:row>2</xdr:row>
      <xdr:rowOff>9525</xdr:rowOff>
    </xdr:from>
    <xdr:to>
      <xdr:col>4</xdr:col>
      <xdr:colOff>247650</xdr:colOff>
      <xdr:row>8</xdr:row>
      <xdr:rowOff>66675</xdr:rowOff>
    </xdr:to>
    <xdr:grpSp>
      <xdr:nvGrpSpPr>
        <xdr:cNvPr id="6" name="Group 5">
          <a:extLst>
            <a:ext uri="{FF2B5EF4-FFF2-40B4-BE49-F238E27FC236}">
              <a16:creationId xmlns:a16="http://schemas.microsoft.com/office/drawing/2014/main" id="{E6CD00F0-2377-40C7-BD2B-010D1FBA7E52}"/>
            </a:ext>
          </a:extLst>
        </xdr:cNvPr>
        <xdr:cNvGrpSpPr/>
      </xdr:nvGrpSpPr>
      <xdr:grpSpPr>
        <a:xfrm>
          <a:off x="1095375" y="390525"/>
          <a:ext cx="2447925" cy="1200150"/>
          <a:chOff x="2019300" y="200025"/>
          <a:chExt cx="2428875" cy="1314450"/>
        </a:xfrm>
      </xdr:grpSpPr>
      <xdr:sp macro="" textlink="">
        <xdr:nvSpPr>
          <xdr:cNvPr id="2" name="Rectangle 1">
            <a:extLst>
              <a:ext uri="{FF2B5EF4-FFF2-40B4-BE49-F238E27FC236}">
                <a16:creationId xmlns:a16="http://schemas.microsoft.com/office/drawing/2014/main" id="{31147CE3-C6E7-4677-BE02-40B388901DD3}"/>
              </a:ext>
            </a:extLst>
          </xdr:cNvPr>
          <xdr:cNvSpPr/>
        </xdr:nvSpPr>
        <xdr:spPr>
          <a:xfrm>
            <a:off x="2019300" y="200025"/>
            <a:ext cx="2428875" cy="131445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TextBox 2">
            <a:extLst>
              <a:ext uri="{FF2B5EF4-FFF2-40B4-BE49-F238E27FC236}">
                <a16:creationId xmlns:a16="http://schemas.microsoft.com/office/drawing/2014/main" id="{157B4838-F283-4489-95B8-7FA8A6AF45E3}"/>
              </a:ext>
            </a:extLst>
          </xdr:cNvPr>
          <xdr:cNvSpPr txBox="1"/>
        </xdr:nvSpPr>
        <xdr:spPr>
          <a:xfrm>
            <a:off x="2143125" y="381000"/>
            <a:ext cx="220980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Total Sales Revenue</a:t>
            </a:r>
          </a:p>
        </xdr:txBody>
      </xdr:sp>
      <xdr:sp macro="" textlink="$A$4">
        <xdr:nvSpPr>
          <xdr:cNvPr id="5" name="TextBox 4">
            <a:extLst>
              <a:ext uri="{FF2B5EF4-FFF2-40B4-BE49-F238E27FC236}">
                <a16:creationId xmlns:a16="http://schemas.microsoft.com/office/drawing/2014/main" id="{CB92FB2B-FF56-43CE-9758-6B836EF5FBB4}"/>
              </a:ext>
            </a:extLst>
          </xdr:cNvPr>
          <xdr:cNvSpPr txBox="1"/>
        </xdr:nvSpPr>
        <xdr:spPr>
          <a:xfrm>
            <a:off x="2133600" y="838200"/>
            <a:ext cx="2209800" cy="390525"/>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49D211-104D-44A1-91D6-43FD849791F8}" type="TxLink">
              <a:rPr lang="en-US" sz="1400" b="1" i="0" u="none" strike="noStrike">
                <a:solidFill>
                  <a:schemeClr val="bg1"/>
                </a:solidFill>
                <a:latin typeface="Calibri"/>
                <a:ea typeface="Calibri"/>
                <a:cs typeface="Calibri"/>
              </a:rPr>
              <a:t>₹ 4,809,000</a:t>
            </a:fld>
            <a:endParaRPr lang="en-US" sz="2400" b="1">
              <a:solidFill>
                <a:schemeClr val="bg1"/>
              </a:solidFill>
            </a:endParaRPr>
          </a:p>
        </xdr:txBody>
      </xdr:sp>
    </xdr:grpSp>
    <xdr:clientData/>
  </xdr:twoCellAnchor>
  <xdr:twoCellAnchor>
    <xdr:from>
      <xdr:col>2</xdr:col>
      <xdr:colOff>152400</xdr:colOff>
      <xdr:row>12</xdr:row>
      <xdr:rowOff>38100</xdr:rowOff>
    </xdr:from>
    <xdr:to>
      <xdr:col>6</xdr:col>
      <xdr:colOff>161925</xdr:colOff>
      <xdr:row>18</xdr:row>
      <xdr:rowOff>95250</xdr:rowOff>
    </xdr:to>
    <xdr:grpSp>
      <xdr:nvGrpSpPr>
        <xdr:cNvPr id="21" name="Group 20">
          <a:extLst>
            <a:ext uri="{FF2B5EF4-FFF2-40B4-BE49-F238E27FC236}">
              <a16:creationId xmlns:a16="http://schemas.microsoft.com/office/drawing/2014/main" id="{81C52579-151B-41F5-88D8-9407CEC3A048}"/>
            </a:ext>
          </a:extLst>
        </xdr:cNvPr>
        <xdr:cNvGrpSpPr/>
      </xdr:nvGrpSpPr>
      <xdr:grpSpPr>
        <a:xfrm>
          <a:off x="2228850" y="2324100"/>
          <a:ext cx="2447925" cy="1200150"/>
          <a:chOff x="2124075" y="2314575"/>
          <a:chExt cx="2447925" cy="1200150"/>
        </a:xfrm>
      </xdr:grpSpPr>
      <xdr:sp macro="" textlink="">
        <xdr:nvSpPr>
          <xdr:cNvPr id="12" name="Rectangle 11">
            <a:extLst>
              <a:ext uri="{FF2B5EF4-FFF2-40B4-BE49-F238E27FC236}">
                <a16:creationId xmlns:a16="http://schemas.microsoft.com/office/drawing/2014/main" id="{7152814D-FA05-4F3F-9D9D-3D52A6FCCC0D}"/>
              </a:ext>
            </a:extLst>
          </xdr:cNvPr>
          <xdr:cNvSpPr/>
        </xdr:nvSpPr>
        <xdr:spPr>
          <a:xfrm>
            <a:off x="2124075" y="2314575"/>
            <a:ext cx="2447925" cy="120015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TextBox 12">
            <a:extLst>
              <a:ext uri="{FF2B5EF4-FFF2-40B4-BE49-F238E27FC236}">
                <a16:creationId xmlns:a16="http://schemas.microsoft.com/office/drawing/2014/main" id="{0BBB6B28-FEAA-4ED5-9B6A-6DB3423EB006}"/>
              </a:ext>
            </a:extLst>
          </xdr:cNvPr>
          <xdr:cNvSpPr txBox="1"/>
        </xdr:nvSpPr>
        <xdr:spPr>
          <a:xfrm>
            <a:off x="2248871" y="2479813"/>
            <a:ext cx="2227132" cy="3565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Best Selling Product</a:t>
            </a:r>
          </a:p>
        </xdr:txBody>
      </xdr:sp>
      <xdr:sp macro="" textlink="$A$14">
        <xdr:nvSpPr>
          <xdr:cNvPr id="14" name="TextBox 13">
            <a:extLst>
              <a:ext uri="{FF2B5EF4-FFF2-40B4-BE49-F238E27FC236}">
                <a16:creationId xmlns:a16="http://schemas.microsoft.com/office/drawing/2014/main" id="{CB8BE1A0-33A4-48F1-AF26-12766B73CEE6}"/>
              </a:ext>
            </a:extLst>
          </xdr:cNvPr>
          <xdr:cNvSpPr txBox="1"/>
        </xdr:nvSpPr>
        <xdr:spPr>
          <a:xfrm>
            <a:off x="2239271" y="2897257"/>
            <a:ext cx="2227132" cy="356566"/>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E3F928-9E43-408D-847E-EF8F53839D7D}" type="TxLink">
              <a:rPr lang="en-US" sz="1800" b="1" i="0" u="none" strike="noStrike">
                <a:solidFill>
                  <a:schemeClr val="bg1"/>
                </a:solidFill>
                <a:latin typeface="Calibri"/>
                <a:ea typeface="Calibri"/>
                <a:cs typeface="Calibri"/>
              </a:rPr>
              <a:t>DELL INSPIRON</a:t>
            </a:fld>
            <a:endParaRPr lang="en-US" sz="4000" b="1">
              <a:solidFill>
                <a:schemeClr val="bg1"/>
              </a:solidFill>
            </a:endParaRPr>
          </a:p>
        </xdr:txBody>
      </xdr:sp>
    </xdr:grpSp>
    <xdr:clientData/>
  </xdr:twoCellAnchor>
  <xdr:twoCellAnchor>
    <xdr:from>
      <xdr:col>10</xdr:col>
      <xdr:colOff>114300</xdr:colOff>
      <xdr:row>1</xdr:row>
      <xdr:rowOff>0</xdr:rowOff>
    </xdr:from>
    <xdr:to>
      <xdr:col>14</xdr:col>
      <xdr:colOff>123825</xdr:colOff>
      <xdr:row>7</xdr:row>
      <xdr:rowOff>57150</xdr:rowOff>
    </xdr:to>
    <xdr:grpSp>
      <xdr:nvGrpSpPr>
        <xdr:cNvPr id="20" name="Group 19">
          <a:extLst>
            <a:ext uri="{FF2B5EF4-FFF2-40B4-BE49-F238E27FC236}">
              <a16:creationId xmlns:a16="http://schemas.microsoft.com/office/drawing/2014/main" id="{9FCAC111-0DDF-42DF-8617-E2CAF8CEE8A2}"/>
            </a:ext>
          </a:extLst>
        </xdr:cNvPr>
        <xdr:cNvGrpSpPr/>
      </xdr:nvGrpSpPr>
      <xdr:grpSpPr>
        <a:xfrm>
          <a:off x="7762875" y="190500"/>
          <a:ext cx="2447925" cy="1200150"/>
          <a:chOff x="9410700" y="1524000"/>
          <a:chExt cx="2447925" cy="1200150"/>
        </a:xfrm>
      </xdr:grpSpPr>
      <xdr:sp macro="" textlink="">
        <xdr:nvSpPr>
          <xdr:cNvPr id="17" name="Rectangle 16">
            <a:extLst>
              <a:ext uri="{FF2B5EF4-FFF2-40B4-BE49-F238E27FC236}">
                <a16:creationId xmlns:a16="http://schemas.microsoft.com/office/drawing/2014/main" id="{9266F002-43B9-4D33-819C-BC9DDC0215FE}"/>
              </a:ext>
            </a:extLst>
          </xdr:cNvPr>
          <xdr:cNvSpPr/>
        </xdr:nvSpPr>
        <xdr:spPr>
          <a:xfrm>
            <a:off x="9410700" y="1524000"/>
            <a:ext cx="2447925" cy="120015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TextBox 17">
            <a:extLst>
              <a:ext uri="{FF2B5EF4-FFF2-40B4-BE49-F238E27FC236}">
                <a16:creationId xmlns:a16="http://schemas.microsoft.com/office/drawing/2014/main" id="{834848A0-934A-40D1-B247-63B5E15590AA}"/>
              </a:ext>
            </a:extLst>
          </xdr:cNvPr>
          <xdr:cNvSpPr txBox="1"/>
        </xdr:nvSpPr>
        <xdr:spPr>
          <a:xfrm>
            <a:off x="9535496" y="1689238"/>
            <a:ext cx="2227132" cy="3565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Top Performing Store</a:t>
            </a:r>
          </a:p>
        </xdr:txBody>
      </xdr:sp>
      <xdr:sp macro="" textlink="$I$3">
        <xdr:nvSpPr>
          <xdr:cNvPr id="19" name="TextBox 18">
            <a:extLst>
              <a:ext uri="{FF2B5EF4-FFF2-40B4-BE49-F238E27FC236}">
                <a16:creationId xmlns:a16="http://schemas.microsoft.com/office/drawing/2014/main" id="{F07DF1DF-3C9C-447C-800D-8E6B55A667D9}"/>
              </a:ext>
            </a:extLst>
          </xdr:cNvPr>
          <xdr:cNvSpPr txBox="1"/>
        </xdr:nvSpPr>
        <xdr:spPr>
          <a:xfrm>
            <a:off x="9525896" y="2106682"/>
            <a:ext cx="2227132" cy="356566"/>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4A32A8-047C-46E5-8E07-640292142CC1}" type="TxLink">
              <a:rPr lang="en-US" sz="1800" b="1" i="0" u="none" strike="noStrike">
                <a:solidFill>
                  <a:schemeClr val="bg1"/>
                </a:solidFill>
                <a:latin typeface="Calibri"/>
                <a:ea typeface="Calibri"/>
                <a:cs typeface="Calibri"/>
              </a:rPr>
              <a:t>Ahmedabad</a:t>
            </a:fld>
            <a:endParaRPr lang="en-US" sz="4000" b="1">
              <a:solidFill>
                <a:schemeClr val="bg1"/>
              </a:solidFill>
            </a:endParaRPr>
          </a:p>
        </xdr:txBody>
      </xdr:sp>
    </xdr:grpSp>
    <xdr:clientData/>
  </xdr:twoCellAnchor>
  <xdr:twoCellAnchor>
    <xdr:from>
      <xdr:col>10</xdr:col>
      <xdr:colOff>133350</xdr:colOff>
      <xdr:row>10</xdr:row>
      <xdr:rowOff>133350</xdr:rowOff>
    </xdr:from>
    <xdr:to>
      <xdr:col>14</xdr:col>
      <xdr:colOff>142875</xdr:colOff>
      <xdr:row>17</xdr:row>
      <xdr:rowOff>0</xdr:rowOff>
    </xdr:to>
    <xdr:grpSp>
      <xdr:nvGrpSpPr>
        <xdr:cNvPr id="30" name="Group 29">
          <a:extLst>
            <a:ext uri="{FF2B5EF4-FFF2-40B4-BE49-F238E27FC236}">
              <a16:creationId xmlns:a16="http://schemas.microsoft.com/office/drawing/2014/main" id="{15304C50-59D9-4B60-86DE-41F9ACE85C21}"/>
            </a:ext>
          </a:extLst>
        </xdr:cNvPr>
        <xdr:cNvGrpSpPr/>
      </xdr:nvGrpSpPr>
      <xdr:grpSpPr>
        <a:xfrm>
          <a:off x="7781925" y="2038350"/>
          <a:ext cx="2447925" cy="1200150"/>
          <a:chOff x="9410700" y="1524000"/>
          <a:chExt cx="2447925" cy="1200150"/>
        </a:xfrm>
      </xdr:grpSpPr>
      <xdr:sp macro="" textlink="">
        <xdr:nvSpPr>
          <xdr:cNvPr id="31" name="Rectangle 30">
            <a:extLst>
              <a:ext uri="{FF2B5EF4-FFF2-40B4-BE49-F238E27FC236}">
                <a16:creationId xmlns:a16="http://schemas.microsoft.com/office/drawing/2014/main" id="{AE5ADD5D-5A84-4015-A0F5-8FFCF74B098F}"/>
              </a:ext>
            </a:extLst>
          </xdr:cNvPr>
          <xdr:cNvSpPr/>
        </xdr:nvSpPr>
        <xdr:spPr>
          <a:xfrm>
            <a:off x="9410700" y="1524000"/>
            <a:ext cx="2447925" cy="120015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2" name="TextBox 31">
            <a:extLst>
              <a:ext uri="{FF2B5EF4-FFF2-40B4-BE49-F238E27FC236}">
                <a16:creationId xmlns:a16="http://schemas.microsoft.com/office/drawing/2014/main" id="{30DD8A0F-34C9-44F9-A3B0-7D39F1F92AC7}"/>
              </a:ext>
            </a:extLst>
          </xdr:cNvPr>
          <xdr:cNvSpPr txBox="1"/>
        </xdr:nvSpPr>
        <xdr:spPr>
          <a:xfrm>
            <a:off x="9535496" y="1689238"/>
            <a:ext cx="2227132" cy="3565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Top Customer</a:t>
            </a:r>
          </a:p>
        </xdr:txBody>
      </xdr:sp>
      <xdr:sp macro="" textlink="$I$12">
        <xdr:nvSpPr>
          <xdr:cNvPr id="33" name="TextBox 32">
            <a:extLst>
              <a:ext uri="{FF2B5EF4-FFF2-40B4-BE49-F238E27FC236}">
                <a16:creationId xmlns:a16="http://schemas.microsoft.com/office/drawing/2014/main" id="{81A40D46-78D6-4F8C-942B-3AB146CD674F}"/>
              </a:ext>
            </a:extLst>
          </xdr:cNvPr>
          <xdr:cNvSpPr txBox="1"/>
        </xdr:nvSpPr>
        <xdr:spPr>
          <a:xfrm>
            <a:off x="9525896" y="2106682"/>
            <a:ext cx="2227132" cy="356566"/>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CF98182-23A3-4438-A6C0-EEFA6F973DAD}" type="TxLink">
              <a:rPr lang="en-US" sz="1800" b="1" i="0" u="none" strike="noStrike">
                <a:solidFill>
                  <a:schemeClr val="bg1"/>
                </a:solidFill>
                <a:latin typeface="Calibri"/>
                <a:ea typeface="Calibri"/>
                <a:cs typeface="Calibri"/>
              </a:rPr>
              <a:t>Rahul Mehta</a:t>
            </a:fld>
            <a:endParaRPr lang="en-US" sz="6000" b="1">
              <a:solidFill>
                <a:schemeClr val="bg1"/>
              </a:solidFill>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244928</xdr:colOff>
      <xdr:row>36</xdr:row>
      <xdr:rowOff>176892</xdr:rowOff>
    </xdr:to>
    <xdr:grpSp>
      <xdr:nvGrpSpPr>
        <xdr:cNvPr id="28" name="Group 27">
          <a:extLst>
            <a:ext uri="{FF2B5EF4-FFF2-40B4-BE49-F238E27FC236}">
              <a16:creationId xmlns:a16="http://schemas.microsoft.com/office/drawing/2014/main" id="{80569ECB-6D9D-47D5-A2E4-E7F545561E51}"/>
            </a:ext>
          </a:extLst>
        </xdr:cNvPr>
        <xdr:cNvGrpSpPr/>
      </xdr:nvGrpSpPr>
      <xdr:grpSpPr>
        <a:xfrm>
          <a:off x="0" y="0"/>
          <a:ext cx="12367655" cy="7034892"/>
          <a:chOff x="0" y="0"/>
          <a:chExt cx="12367655" cy="7034892"/>
        </a:xfrm>
      </xdr:grpSpPr>
      <xdr:sp macro="" textlink="">
        <xdr:nvSpPr>
          <xdr:cNvPr id="2" name="Rectangle 1">
            <a:extLst>
              <a:ext uri="{FF2B5EF4-FFF2-40B4-BE49-F238E27FC236}">
                <a16:creationId xmlns:a16="http://schemas.microsoft.com/office/drawing/2014/main" id="{09F27F78-8B9F-4B02-BCA4-94072AB71F71}"/>
              </a:ext>
            </a:extLst>
          </xdr:cNvPr>
          <xdr:cNvSpPr/>
        </xdr:nvSpPr>
        <xdr:spPr>
          <a:xfrm>
            <a:off x="0" y="0"/>
            <a:ext cx="12367654" cy="752475"/>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t>Retail Sales Analysis Dashboard</a:t>
            </a:r>
          </a:p>
        </xdr:txBody>
      </xdr:sp>
      <xdr:grpSp>
        <xdr:nvGrpSpPr>
          <xdr:cNvPr id="3" name="Group 2">
            <a:extLst>
              <a:ext uri="{FF2B5EF4-FFF2-40B4-BE49-F238E27FC236}">
                <a16:creationId xmlns:a16="http://schemas.microsoft.com/office/drawing/2014/main" id="{6B105B54-59C6-4DA6-9847-6BC9BA42122C}"/>
              </a:ext>
            </a:extLst>
          </xdr:cNvPr>
          <xdr:cNvGrpSpPr/>
        </xdr:nvGrpSpPr>
        <xdr:grpSpPr>
          <a:xfrm>
            <a:off x="0" y="785132"/>
            <a:ext cx="2434070" cy="1200150"/>
            <a:chOff x="2019300" y="200025"/>
            <a:chExt cx="2428875" cy="1314450"/>
          </a:xfrm>
        </xdr:grpSpPr>
        <xdr:sp macro="" textlink="">
          <xdr:nvSpPr>
            <xdr:cNvPr id="4" name="Rectangle 3">
              <a:extLst>
                <a:ext uri="{FF2B5EF4-FFF2-40B4-BE49-F238E27FC236}">
                  <a16:creationId xmlns:a16="http://schemas.microsoft.com/office/drawing/2014/main" id="{70DC28B6-FEFD-48FB-801A-6FEC7F1E8EDE}"/>
                </a:ext>
              </a:extLst>
            </xdr:cNvPr>
            <xdr:cNvSpPr/>
          </xdr:nvSpPr>
          <xdr:spPr>
            <a:xfrm>
              <a:off x="2019300" y="200025"/>
              <a:ext cx="2428875" cy="131445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TextBox 4">
              <a:extLst>
                <a:ext uri="{FF2B5EF4-FFF2-40B4-BE49-F238E27FC236}">
                  <a16:creationId xmlns:a16="http://schemas.microsoft.com/office/drawing/2014/main" id="{2ECE0324-B79F-40A4-863C-545C540531C2}"/>
                </a:ext>
              </a:extLst>
            </xdr:cNvPr>
            <xdr:cNvSpPr txBox="1"/>
          </xdr:nvSpPr>
          <xdr:spPr>
            <a:xfrm>
              <a:off x="2143125" y="381000"/>
              <a:ext cx="220980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Total Sales Revenue</a:t>
              </a:r>
            </a:p>
          </xdr:txBody>
        </xdr:sp>
        <xdr:sp macro="" textlink="$A$4">
          <xdr:nvSpPr>
            <xdr:cNvPr id="6" name="TextBox 5">
              <a:extLst>
                <a:ext uri="{FF2B5EF4-FFF2-40B4-BE49-F238E27FC236}">
                  <a16:creationId xmlns:a16="http://schemas.microsoft.com/office/drawing/2014/main" id="{BE1C7840-6ACC-46D3-B4AC-9F23A24E345B}"/>
                </a:ext>
              </a:extLst>
            </xdr:cNvPr>
            <xdr:cNvSpPr txBox="1"/>
          </xdr:nvSpPr>
          <xdr:spPr>
            <a:xfrm>
              <a:off x="2133600" y="838200"/>
              <a:ext cx="2209800" cy="390525"/>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49D211-104D-44A1-91D6-43FD849791F8}" type="TxLink">
                <a:rPr lang="en-US" sz="1400" b="1" i="0" u="none" strike="noStrike">
                  <a:solidFill>
                    <a:schemeClr val="bg1"/>
                  </a:solidFill>
                  <a:latin typeface="Calibri"/>
                  <a:ea typeface="Calibri"/>
                  <a:cs typeface="Calibri"/>
                </a:rPr>
                <a:t>₹ 4,809,000</a:t>
              </a:fld>
              <a:endParaRPr lang="en-US" sz="2400" b="1">
                <a:solidFill>
                  <a:schemeClr val="bg1"/>
                </a:solidFill>
              </a:endParaRPr>
            </a:p>
          </xdr:txBody>
        </xdr:sp>
      </xdr:grpSp>
      <xdr:grpSp>
        <xdr:nvGrpSpPr>
          <xdr:cNvPr id="7" name="Group 6">
            <a:extLst>
              <a:ext uri="{FF2B5EF4-FFF2-40B4-BE49-F238E27FC236}">
                <a16:creationId xmlns:a16="http://schemas.microsoft.com/office/drawing/2014/main" id="{828DAA09-A840-4CFC-B371-94AA0275514E}"/>
              </a:ext>
            </a:extLst>
          </xdr:cNvPr>
          <xdr:cNvGrpSpPr/>
        </xdr:nvGrpSpPr>
        <xdr:grpSpPr>
          <a:xfrm>
            <a:off x="14970" y="2023382"/>
            <a:ext cx="2423183" cy="1200150"/>
            <a:chOff x="2124075" y="2314575"/>
            <a:chExt cx="2447925" cy="1200150"/>
          </a:xfrm>
        </xdr:grpSpPr>
        <xdr:sp macro="" textlink="">
          <xdr:nvSpPr>
            <xdr:cNvPr id="8" name="Rectangle 7">
              <a:extLst>
                <a:ext uri="{FF2B5EF4-FFF2-40B4-BE49-F238E27FC236}">
                  <a16:creationId xmlns:a16="http://schemas.microsoft.com/office/drawing/2014/main" id="{78425E82-5EDC-458A-969A-03FBD15A1DD5}"/>
                </a:ext>
              </a:extLst>
            </xdr:cNvPr>
            <xdr:cNvSpPr/>
          </xdr:nvSpPr>
          <xdr:spPr>
            <a:xfrm>
              <a:off x="2124075" y="2314575"/>
              <a:ext cx="2447925" cy="120015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TextBox 8">
              <a:extLst>
                <a:ext uri="{FF2B5EF4-FFF2-40B4-BE49-F238E27FC236}">
                  <a16:creationId xmlns:a16="http://schemas.microsoft.com/office/drawing/2014/main" id="{8F83298E-7862-4FD3-9219-AF9F039F6E90}"/>
                </a:ext>
              </a:extLst>
            </xdr:cNvPr>
            <xdr:cNvSpPr txBox="1"/>
          </xdr:nvSpPr>
          <xdr:spPr>
            <a:xfrm>
              <a:off x="2248871" y="2479813"/>
              <a:ext cx="2227132" cy="3565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Best Selling Product</a:t>
              </a:r>
            </a:p>
          </xdr:txBody>
        </xdr:sp>
        <xdr:sp macro="" textlink="$A$14">
          <xdr:nvSpPr>
            <xdr:cNvPr id="10" name="TextBox 9">
              <a:extLst>
                <a:ext uri="{FF2B5EF4-FFF2-40B4-BE49-F238E27FC236}">
                  <a16:creationId xmlns:a16="http://schemas.microsoft.com/office/drawing/2014/main" id="{CF29300A-154C-49AB-B4F4-E00CC554CB68}"/>
                </a:ext>
              </a:extLst>
            </xdr:cNvPr>
            <xdr:cNvSpPr txBox="1"/>
          </xdr:nvSpPr>
          <xdr:spPr>
            <a:xfrm>
              <a:off x="2239271" y="2897257"/>
              <a:ext cx="2227132" cy="356566"/>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E3F928-9E43-408D-847E-EF8F53839D7D}" type="TxLink">
                <a:rPr lang="en-US" sz="1800" b="1" i="0" u="none" strike="noStrike">
                  <a:solidFill>
                    <a:schemeClr val="bg1"/>
                  </a:solidFill>
                  <a:latin typeface="Calibri"/>
                  <a:ea typeface="Calibri"/>
                  <a:cs typeface="Calibri"/>
                </a:rPr>
                <a:t>DELL INSPIRON</a:t>
              </a:fld>
              <a:endParaRPr lang="en-US" sz="4000" b="1">
                <a:solidFill>
                  <a:schemeClr val="bg1"/>
                </a:solidFill>
              </a:endParaRPr>
            </a:p>
          </xdr:txBody>
        </xdr:sp>
      </xdr:grpSp>
      <xdr:grpSp>
        <xdr:nvGrpSpPr>
          <xdr:cNvPr id="11" name="Group 10">
            <a:extLst>
              <a:ext uri="{FF2B5EF4-FFF2-40B4-BE49-F238E27FC236}">
                <a16:creationId xmlns:a16="http://schemas.microsoft.com/office/drawing/2014/main" id="{C7896E8B-007B-4E80-A7C1-DDE95FC26BAB}"/>
              </a:ext>
            </a:extLst>
          </xdr:cNvPr>
          <xdr:cNvGrpSpPr/>
        </xdr:nvGrpSpPr>
        <xdr:grpSpPr>
          <a:xfrm>
            <a:off x="0" y="3275240"/>
            <a:ext cx="2434069" cy="1200150"/>
            <a:chOff x="9410700" y="1524000"/>
            <a:chExt cx="2447925" cy="1200150"/>
          </a:xfrm>
        </xdr:grpSpPr>
        <xdr:sp macro="" textlink="">
          <xdr:nvSpPr>
            <xdr:cNvPr id="12" name="Rectangle 11">
              <a:extLst>
                <a:ext uri="{FF2B5EF4-FFF2-40B4-BE49-F238E27FC236}">
                  <a16:creationId xmlns:a16="http://schemas.microsoft.com/office/drawing/2014/main" id="{34B84E43-E6BC-479F-B1B0-D0BD278DB815}"/>
                </a:ext>
              </a:extLst>
            </xdr:cNvPr>
            <xdr:cNvSpPr/>
          </xdr:nvSpPr>
          <xdr:spPr>
            <a:xfrm>
              <a:off x="9410700" y="1524000"/>
              <a:ext cx="2447925" cy="120015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TextBox 12">
              <a:extLst>
                <a:ext uri="{FF2B5EF4-FFF2-40B4-BE49-F238E27FC236}">
                  <a16:creationId xmlns:a16="http://schemas.microsoft.com/office/drawing/2014/main" id="{7A794C04-11DE-4F65-A63D-A7CE68B49AA4}"/>
                </a:ext>
              </a:extLst>
            </xdr:cNvPr>
            <xdr:cNvSpPr txBox="1"/>
          </xdr:nvSpPr>
          <xdr:spPr>
            <a:xfrm>
              <a:off x="9535496" y="1689238"/>
              <a:ext cx="2227132" cy="3565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Top Performing Store</a:t>
              </a:r>
            </a:p>
          </xdr:txBody>
        </xdr:sp>
        <xdr:sp macro="" textlink="$I$3">
          <xdr:nvSpPr>
            <xdr:cNvPr id="14" name="TextBox 13">
              <a:extLst>
                <a:ext uri="{FF2B5EF4-FFF2-40B4-BE49-F238E27FC236}">
                  <a16:creationId xmlns:a16="http://schemas.microsoft.com/office/drawing/2014/main" id="{6161B4F1-2B67-4DAC-918B-8ABD478D225B}"/>
                </a:ext>
              </a:extLst>
            </xdr:cNvPr>
            <xdr:cNvSpPr txBox="1"/>
          </xdr:nvSpPr>
          <xdr:spPr>
            <a:xfrm>
              <a:off x="9525896" y="2106682"/>
              <a:ext cx="2227132" cy="356566"/>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4A32A8-047C-46E5-8E07-640292142CC1}" type="TxLink">
                <a:rPr lang="en-US" sz="1800" b="1" i="0" u="none" strike="noStrike">
                  <a:solidFill>
                    <a:schemeClr val="bg1"/>
                  </a:solidFill>
                  <a:latin typeface="Calibri"/>
                  <a:ea typeface="Calibri"/>
                  <a:cs typeface="Calibri"/>
                </a:rPr>
                <a:t>Ahmedabad</a:t>
              </a:fld>
              <a:endParaRPr lang="en-US" sz="4000" b="1">
                <a:solidFill>
                  <a:schemeClr val="bg1"/>
                </a:solidFill>
              </a:endParaRPr>
            </a:p>
          </xdr:txBody>
        </xdr:sp>
      </xdr:grpSp>
      <xdr:grpSp>
        <xdr:nvGrpSpPr>
          <xdr:cNvPr id="15" name="Group 14">
            <a:extLst>
              <a:ext uri="{FF2B5EF4-FFF2-40B4-BE49-F238E27FC236}">
                <a16:creationId xmlns:a16="http://schemas.microsoft.com/office/drawing/2014/main" id="{FF2EC0B5-2660-4361-B081-071AB9F95D8E}"/>
              </a:ext>
            </a:extLst>
          </xdr:cNvPr>
          <xdr:cNvGrpSpPr/>
        </xdr:nvGrpSpPr>
        <xdr:grpSpPr>
          <a:xfrm>
            <a:off x="0" y="4527097"/>
            <a:ext cx="2434070" cy="1200150"/>
            <a:chOff x="9410700" y="1524000"/>
            <a:chExt cx="2447925" cy="1200150"/>
          </a:xfrm>
        </xdr:grpSpPr>
        <xdr:sp macro="" textlink="">
          <xdr:nvSpPr>
            <xdr:cNvPr id="16" name="Rectangle 15">
              <a:extLst>
                <a:ext uri="{FF2B5EF4-FFF2-40B4-BE49-F238E27FC236}">
                  <a16:creationId xmlns:a16="http://schemas.microsoft.com/office/drawing/2014/main" id="{65FCEBB3-8161-4730-A515-1B7F29FE5EC7}"/>
                </a:ext>
              </a:extLst>
            </xdr:cNvPr>
            <xdr:cNvSpPr/>
          </xdr:nvSpPr>
          <xdr:spPr>
            <a:xfrm>
              <a:off x="9410700" y="1524000"/>
              <a:ext cx="2447925" cy="120015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TextBox 16">
              <a:extLst>
                <a:ext uri="{FF2B5EF4-FFF2-40B4-BE49-F238E27FC236}">
                  <a16:creationId xmlns:a16="http://schemas.microsoft.com/office/drawing/2014/main" id="{1DCC1034-CE91-4139-BD7D-BF0741B7C0AB}"/>
                </a:ext>
              </a:extLst>
            </xdr:cNvPr>
            <xdr:cNvSpPr txBox="1"/>
          </xdr:nvSpPr>
          <xdr:spPr>
            <a:xfrm>
              <a:off x="9535496" y="1689238"/>
              <a:ext cx="2227132" cy="3565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Top Customer</a:t>
              </a:r>
            </a:p>
          </xdr:txBody>
        </xdr:sp>
        <xdr:sp macro="" textlink="$I$12">
          <xdr:nvSpPr>
            <xdr:cNvPr id="18" name="TextBox 17">
              <a:extLst>
                <a:ext uri="{FF2B5EF4-FFF2-40B4-BE49-F238E27FC236}">
                  <a16:creationId xmlns:a16="http://schemas.microsoft.com/office/drawing/2014/main" id="{56D5324E-F22F-438C-B93D-9558C781CF06}"/>
                </a:ext>
              </a:extLst>
            </xdr:cNvPr>
            <xdr:cNvSpPr txBox="1"/>
          </xdr:nvSpPr>
          <xdr:spPr>
            <a:xfrm>
              <a:off x="9525896" y="2106682"/>
              <a:ext cx="2227132" cy="356566"/>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CF98182-23A3-4438-A6C0-EEFA6F973DAD}" type="TxLink">
                <a:rPr lang="en-US" sz="1800" b="1" i="0" u="none" strike="noStrike">
                  <a:solidFill>
                    <a:schemeClr val="bg1"/>
                  </a:solidFill>
                  <a:latin typeface="Calibri"/>
                  <a:ea typeface="Calibri"/>
                  <a:cs typeface="Calibri"/>
                </a:rPr>
                <a:t>Rahul Mehta</a:t>
              </a:fld>
              <a:endParaRPr lang="en-US" sz="6000" b="1">
                <a:solidFill>
                  <a:schemeClr val="bg1"/>
                </a:solidFill>
              </a:endParaRPr>
            </a:p>
          </xdr:txBody>
        </xdr:sp>
      </xdr:grpSp>
      <xdr:graphicFrame macro="">
        <xdr:nvGraphicFramePr>
          <xdr:cNvPr id="19" name="Sales by Store">
            <a:extLst>
              <a:ext uri="{FF2B5EF4-FFF2-40B4-BE49-F238E27FC236}">
                <a16:creationId xmlns:a16="http://schemas.microsoft.com/office/drawing/2014/main" id="{34AFD8F6-9527-4048-AB66-815165DF4A64}"/>
              </a:ext>
            </a:extLst>
          </xdr:cNvPr>
          <xdr:cNvGraphicFramePr>
            <a:graphicFrameLocks/>
          </xdr:cNvGraphicFramePr>
        </xdr:nvGraphicFramePr>
        <xdr:xfrm>
          <a:off x="2473529" y="779690"/>
          <a:ext cx="4906242" cy="3109913"/>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0" name="Sales by Category">
            <a:extLst>
              <a:ext uri="{FF2B5EF4-FFF2-40B4-BE49-F238E27FC236}">
                <a16:creationId xmlns:a16="http://schemas.microsoft.com/office/drawing/2014/main" id="{2E5A3B0B-D237-4A08-B0D7-B85FE366FA16}"/>
              </a:ext>
            </a:extLst>
          </xdr:cNvPr>
          <xdr:cNvGraphicFramePr>
            <a:graphicFrameLocks/>
          </xdr:cNvGraphicFramePr>
        </xdr:nvGraphicFramePr>
        <xdr:xfrm>
          <a:off x="7426036" y="779688"/>
          <a:ext cx="4928013" cy="3107952"/>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1" name="Monthly Sales Trend">
            <a:extLst>
              <a:ext uri="{FF2B5EF4-FFF2-40B4-BE49-F238E27FC236}">
                <a16:creationId xmlns:a16="http://schemas.microsoft.com/office/drawing/2014/main" id="{496F3680-8544-43D0-AD77-383E40E108E4}"/>
              </a:ext>
            </a:extLst>
          </xdr:cNvPr>
          <xdr:cNvGraphicFramePr>
            <a:graphicFrameLocks/>
          </xdr:cNvGraphicFramePr>
        </xdr:nvGraphicFramePr>
        <xdr:xfrm>
          <a:off x="2473370" y="3934866"/>
          <a:ext cx="4893916" cy="3092823"/>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2" name="Top 5 Customers by Revenue">
            <a:extLst>
              <a:ext uri="{FF2B5EF4-FFF2-40B4-BE49-F238E27FC236}">
                <a16:creationId xmlns:a16="http://schemas.microsoft.com/office/drawing/2014/main" id="{9CF431EA-47B3-4E2D-93FC-3C57F93537C3}"/>
              </a:ext>
            </a:extLst>
          </xdr:cNvPr>
          <xdr:cNvGraphicFramePr>
            <a:graphicFrameLocks/>
          </xdr:cNvGraphicFramePr>
        </xdr:nvGraphicFramePr>
        <xdr:xfrm>
          <a:off x="7412110" y="3934865"/>
          <a:ext cx="4955545" cy="3092824"/>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mc:Choice xmlns:a14="http://schemas.microsoft.com/office/drawing/2010/main" Requires="a14">
          <xdr:graphicFrame macro="">
            <xdr:nvGraphicFramePr>
              <xdr:cNvPr id="23" name="Months">
                <a:extLst>
                  <a:ext uri="{FF2B5EF4-FFF2-40B4-BE49-F238E27FC236}">
                    <a16:creationId xmlns:a16="http://schemas.microsoft.com/office/drawing/2014/main" id="{F4A35E81-DA82-486F-B6D3-6D8F96A05CB3}"/>
                  </a:ext>
                </a:extLst>
              </xdr:cNvPr>
              <xdr:cNvGraphicFramePr/>
            </xdr:nvGraphicFramePr>
            <xdr:xfrm>
              <a:off x="13607" y="5774871"/>
              <a:ext cx="2438152" cy="1260021"/>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13607" y="5774871"/>
                <a:ext cx="2438152" cy="12600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91.691159953705" createdVersion="7" refreshedVersion="7" minRefreshableVersion="3" recordCount="100" xr:uid="{67D4F7DB-733F-46FD-AD6E-AF980E6468F2}">
  <cacheSource type="worksheet">
    <worksheetSource name="Table1"/>
  </cacheSource>
  <cacheFields count="10">
    <cacheField name="Order_Id" numFmtId="49">
      <sharedItems/>
    </cacheField>
    <cacheField name="Date" numFmtId="170">
      <sharedItems containsSemiMixedTypes="0" containsNonDate="0" containsDate="1" containsString="0" minDate="2026-01-01T00:00:00" maxDate="2026-02-20T00:00:00" count="5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sharedItems>
      <fieldGroup par="9" base="1">
        <rangePr groupBy="days" startDate="2026-01-01T00:00:00" endDate="2026-02-20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20/2026"/>
        </groupItems>
      </fieldGroup>
    </cacheField>
    <cacheField name="Store" numFmtId="49">
      <sharedItems count="4">
        <s v="Ahmedabad"/>
        <s v="Rajkot"/>
        <s v="Surat"/>
        <s v="Vadodara"/>
      </sharedItems>
    </cacheField>
    <cacheField name="Customer" numFmtId="49">
      <sharedItems count="8">
        <s v="Amit Shah"/>
        <s v="Priya Patel"/>
        <s v="Rahul Mehta"/>
        <s v="Neha Joshi"/>
        <s v="Karan Shah"/>
        <s v="Pooja Patel"/>
        <s v="Jay Patel"/>
        <s v="Riya Shah"/>
      </sharedItems>
    </cacheField>
    <cacheField name="Category" numFmtId="49">
      <sharedItems count="3">
        <s v="Laptop"/>
        <s v="Mobile"/>
        <s v="Tablet"/>
      </sharedItems>
    </cacheField>
    <cacheField name="Product" numFmtId="49">
      <sharedItems count="5">
        <s v="HP 15"/>
        <s v="SAMSUNG A35"/>
        <s v="DELL INSPIRON"/>
        <s v="REDMI NOTE 14"/>
        <s v="LENOVO TAB"/>
      </sharedItems>
    </cacheField>
    <cacheField name="Quantity" numFmtId="1">
      <sharedItems containsSemiMixedTypes="0" containsString="0" containsNumber="1" containsInteger="1" minValue="1" maxValue="3"/>
    </cacheField>
    <cacheField name="Unit_Price" numFmtId="175">
      <sharedItems containsSemiMixedTypes="0" containsString="0" containsNumber="1" containsInteger="1" minValue="18000" maxValue="52000"/>
    </cacheField>
    <cacheField name="Revenue" numFmtId="175">
      <sharedItems containsSemiMixedTypes="0" containsString="0" containsNumber="1" containsInteger="1" minValue="18000" maxValue="104000" count="13">
        <n v="90000"/>
        <n v="28000"/>
        <n v="52000"/>
        <n v="54000"/>
        <n v="44000"/>
        <n v="45000"/>
        <n v="56000"/>
        <n v="22000"/>
        <n v="36000"/>
        <n v="66000"/>
        <n v="104000"/>
        <n v="18000"/>
        <n v="84000"/>
      </sharedItems>
    </cacheField>
    <cacheField name="Months" numFmtId="0" databaseField="0">
      <fieldGroup base="1">
        <rangePr groupBy="months" startDate="2026-01-01T00:00:00" endDate="2026-02-20T00:00:00"/>
        <groupItems count="14">
          <s v="&lt;1/1/2026"/>
          <s v="Jan"/>
          <s v="Feb"/>
          <s v="Mar"/>
          <s v="Apr"/>
          <s v="May"/>
          <s v="Jun"/>
          <s v="Jul"/>
          <s v="Aug"/>
          <s v="Sep"/>
          <s v="Oct"/>
          <s v="Nov"/>
          <s v="Dec"/>
          <s v="&gt;2/20/2026"/>
        </groupItems>
      </fieldGroup>
    </cacheField>
  </cacheFields>
  <extLst>
    <ext xmlns:x14="http://schemas.microsoft.com/office/spreadsheetml/2009/9/main" uri="{725AE2AE-9491-48be-B2B4-4EB974FC3084}">
      <x14:pivotCacheDefinition pivotCacheId="15548972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1"/>
    <x v="0"/>
    <x v="0"/>
    <x v="0"/>
    <x v="0"/>
    <x v="0"/>
    <n v="2"/>
    <n v="45000"/>
    <x v="0"/>
  </r>
  <r>
    <s v="ORD002"/>
    <x v="0"/>
    <x v="1"/>
    <x v="1"/>
    <x v="1"/>
    <x v="1"/>
    <n v="1"/>
    <n v="28000"/>
    <x v="1"/>
  </r>
  <r>
    <s v="ORD003"/>
    <x v="1"/>
    <x v="2"/>
    <x v="2"/>
    <x v="0"/>
    <x v="2"/>
    <n v="1"/>
    <n v="52000"/>
    <x v="2"/>
  </r>
  <r>
    <s v="ORD004"/>
    <x v="1"/>
    <x v="0"/>
    <x v="3"/>
    <x v="1"/>
    <x v="3"/>
    <n v="3"/>
    <n v="18000"/>
    <x v="3"/>
  </r>
  <r>
    <s v="ORD005"/>
    <x v="2"/>
    <x v="3"/>
    <x v="4"/>
    <x v="2"/>
    <x v="4"/>
    <n v="2"/>
    <n v="22000"/>
    <x v="4"/>
  </r>
  <r>
    <s v="ORD006"/>
    <x v="2"/>
    <x v="1"/>
    <x v="5"/>
    <x v="0"/>
    <x v="0"/>
    <n v="1"/>
    <n v="45000"/>
    <x v="5"/>
  </r>
  <r>
    <s v="ORD007"/>
    <x v="3"/>
    <x v="2"/>
    <x v="0"/>
    <x v="1"/>
    <x v="1"/>
    <n v="2"/>
    <n v="28000"/>
    <x v="6"/>
  </r>
  <r>
    <s v="ORD008"/>
    <x v="3"/>
    <x v="0"/>
    <x v="6"/>
    <x v="2"/>
    <x v="4"/>
    <n v="1"/>
    <n v="22000"/>
    <x v="7"/>
  </r>
  <r>
    <s v="ORD009"/>
    <x v="4"/>
    <x v="3"/>
    <x v="7"/>
    <x v="1"/>
    <x v="3"/>
    <n v="2"/>
    <n v="18000"/>
    <x v="8"/>
  </r>
  <r>
    <s v="ORD010"/>
    <x v="4"/>
    <x v="1"/>
    <x v="2"/>
    <x v="0"/>
    <x v="2"/>
    <n v="1"/>
    <n v="52000"/>
    <x v="2"/>
  </r>
  <r>
    <s v="ORD011"/>
    <x v="5"/>
    <x v="2"/>
    <x v="3"/>
    <x v="2"/>
    <x v="4"/>
    <n v="3"/>
    <n v="22000"/>
    <x v="9"/>
  </r>
  <r>
    <s v="ORD012"/>
    <x v="5"/>
    <x v="0"/>
    <x v="1"/>
    <x v="0"/>
    <x v="0"/>
    <n v="2"/>
    <n v="45000"/>
    <x v="0"/>
  </r>
  <r>
    <s v="ORD013"/>
    <x v="6"/>
    <x v="1"/>
    <x v="6"/>
    <x v="1"/>
    <x v="1"/>
    <n v="1"/>
    <n v="28000"/>
    <x v="1"/>
  </r>
  <r>
    <s v="ORD014"/>
    <x v="6"/>
    <x v="3"/>
    <x v="4"/>
    <x v="0"/>
    <x v="2"/>
    <n v="2"/>
    <n v="52000"/>
    <x v="10"/>
  </r>
  <r>
    <s v="ORD015"/>
    <x v="7"/>
    <x v="2"/>
    <x v="7"/>
    <x v="1"/>
    <x v="3"/>
    <n v="1"/>
    <n v="18000"/>
    <x v="11"/>
  </r>
  <r>
    <s v="ORD016"/>
    <x v="7"/>
    <x v="0"/>
    <x v="0"/>
    <x v="2"/>
    <x v="4"/>
    <n v="2"/>
    <n v="22000"/>
    <x v="4"/>
  </r>
  <r>
    <s v="ORD017"/>
    <x v="8"/>
    <x v="1"/>
    <x v="1"/>
    <x v="0"/>
    <x v="0"/>
    <n v="1"/>
    <n v="45000"/>
    <x v="5"/>
  </r>
  <r>
    <s v="ORD018"/>
    <x v="8"/>
    <x v="3"/>
    <x v="2"/>
    <x v="1"/>
    <x v="1"/>
    <n v="2"/>
    <n v="28000"/>
    <x v="6"/>
  </r>
  <r>
    <s v="ORD019"/>
    <x v="9"/>
    <x v="2"/>
    <x v="6"/>
    <x v="0"/>
    <x v="2"/>
    <n v="1"/>
    <n v="52000"/>
    <x v="2"/>
  </r>
  <r>
    <s v="ORD020"/>
    <x v="9"/>
    <x v="0"/>
    <x v="3"/>
    <x v="1"/>
    <x v="3"/>
    <n v="2"/>
    <n v="18000"/>
    <x v="8"/>
  </r>
  <r>
    <s v="ORD021"/>
    <x v="10"/>
    <x v="0"/>
    <x v="0"/>
    <x v="0"/>
    <x v="0"/>
    <n v="1"/>
    <n v="45000"/>
    <x v="5"/>
  </r>
  <r>
    <s v="ORD022"/>
    <x v="10"/>
    <x v="1"/>
    <x v="5"/>
    <x v="1"/>
    <x v="1"/>
    <n v="2"/>
    <n v="28000"/>
    <x v="6"/>
  </r>
  <r>
    <s v="ORD023"/>
    <x v="11"/>
    <x v="2"/>
    <x v="7"/>
    <x v="2"/>
    <x v="4"/>
    <n v="1"/>
    <n v="22000"/>
    <x v="7"/>
  </r>
  <r>
    <s v="ORD024"/>
    <x v="11"/>
    <x v="3"/>
    <x v="4"/>
    <x v="1"/>
    <x v="3"/>
    <n v="3"/>
    <n v="18000"/>
    <x v="3"/>
  </r>
  <r>
    <s v="ORD025"/>
    <x v="12"/>
    <x v="0"/>
    <x v="6"/>
    <x v="0"/>
    <x v="2"/>
    <n v="2"/>
    <n v="52000"/>
    <x v="10"/>
  </r>
  <r>
    <s v="ORD026"/>
    <x v="12"/>
    <x v="1"/>
    <x v="1"/>
    <x v="2"/>
    <x v="4"/>
    <n v="2"/>
    <n v="22000"/>
    <x v="4"/>
  </r>
  <r>
    <s v="ORD027"/>
    <x v="13"/>
    <x v="2"/>
    <x v="2"/>
    <x v="1"/>
    <x v="1"/>
    <n v="1"/>
    <n v="28000"/>
    <x v="1"/>
  </r>
  <r>
    <s v="ORD028"/>
    <x v="13"/>
    <x v="3"/>
    <x v="3"/>
    <x v="0"/>
    <x v="0"/>
    <n v="1"/>
    <n v="45000"/>
    <x v="5"/>
  </r>
  <r>
    <s v="ORD029"/>
    <x v="14"/>
    <x v="0"/>
    <x v="0"/>
    <x v="1"/>
    <x v="3"/>
    <n v="2"/>
    <n v="18000"/>
    <x v="8"/>
  </r>
  <r>
    <s v="ORD030"/>
    <x v="14"/>
    <x v="1"/>
    <x v="6"/>
    <x v="2"/>
    <x v="4"/>
    <n v="1"/>
    <n v="22000"/>
    <x v="7"/>
  </r>
  <r>
    <s v="ORD031"/>
    <x v="15"/>
    <x v="2"/>
    <x v="1"/>
    <x v="0"/>
    <x v="2"/>
    <n v="1"/>
    <n v="52000"/>
    <x v="2"/>
  </r>
  <r>
    <s v="ORD032"/>
    <x v="15"/>
    <x v="3"/>
    <x v="7"/>
    <x v="1"/>
    <x v="1"/>
    <n v="2"/>
    <n v="28000"/>
    <x v="6"/>
  </r>
  <r>
    <s v="ORD033"/>
    <x v="16"/>
    <x v="0"/>
    <x v="4"/>
    <x v="2"/>
    <x v="4"/>
    <n v="1"/>
    <n v="22000"/>
    <x v="7"/>
  </r>
  <r>
    <s v="ORD034"/>
    <x v="16"/>
    <x v="1"/>
    <x v="2"/>
    <x v="0"/>
    <x v="0"/>
    <n v="2"/>
    <n v="45000"/>
    <x v="0"/>
  </r>
  <r>
    <s v="ORD035"/>
    <x v="17"/>
    <x v="2"/>
    <x v="3"/>
    <x v="1"/>
    <x v="1"/>
    <n v="1"/>
    <n v="28000"/>
    <x v="1"/>
  </r>
  <r>
    <s v="ORD036"/>
    <x v="17"/>
    <x v="3"/>
    <x v="6"/>
    <x v="0"/>
    <x v="2"/>
    <n v="1"/>
    <n v="52000"/>
    <x v="2"/>
  </r>
  <r>
    <s v="ORD037"/>
    <x v="18"/>
    <x v="0"/>
    <x v="5"/>
    <x v="1"/>
    <x v="3"/>
    <n v="3"/>
    <n v="18000"/>
    <x v="3"/>
  </r>
  <r>
    <s v="ORD038"/>
    <x v="18"/>
    <x v="1"/>
    <x v="0"/>
    <x v="2"/>
    <x v="4"/>
    <n v="2"/>
    <n v="22000"/>
    <x v="4"/>
  </r>
  <r>
    <s v="ORD039"/>
    <x v="19"/>
    <x v="2"/>
    <x v="4"/>
    <x v="0"/>
    <x v="0"/>
    <n v="1"/>
    <n v="45000"/>
    <x v="5"/>
  </r>
  <r>
    <s v="ORD040"/>
    <x v="19"/>
    <x v="3"/>
    <x v="1"/>
    <x v="1"/>
    <x v="1"/>
    <n v="1"/>
    <n v="28000"/>
    <x v="1"/>
  </r>
  <r>
    <s v="ORD041"/>
    <x v="20"/>
    <x v="0"/>
    <x v="2"/>
    <x v="2"/>
    <x v="4"/>
    <n v="2"/>
    <n v="22000"/>
    <x v="4"/>
  </r>
  <r>
    <s v="ORD042"/>
    <x v="20"/>
    <x v="1"/>
    <x v="3"/>
    <x v="0"/>
    <x v="2"/>
    <n v="1"/>
    <n v="52000"/>
    <x v="2"/>
  </r>
  <r>
    <s v="ORD043"/>
    <x v="21"/>
    <x v="2"/>
    <x v="0"/>
    <x v="1"/>
    <x v="1"/>
    <n v="2"/>
    <n v="28000"/>
    <x v="6"/>
  </r>
  <r>
    <s v="ORD044"/>
    <x v="21"/>
    <x v="3"/>
    <x v="6"/>
    <x v="1"/>
    <x v="3"/>
    <n v="1"/>
    <n v="18000"/>
    <x v="11"/>
  </r>
  <r>
    <s v="ORD045"/>
    <x v="22"/>
    <x v="0"/>
    <x v="7"/>
    <x v="0"/>
    <x v="0"/>
    <n v="2"/>
    <n v="45000"/>
    <x v="0"/>
  </r>
  <r>
    <s v="ORD046"/>
    <x v="22"/>
    <x v="1"/>
    <x v="4"/>
    <x v="2"/>
    <x v="4"/>
    <n v="1"/>
    <n v="22000"/>
    <x v="7"/>
  </r>
  <r>
    <s v="ORD047"/>
    <x v="23"/>
    <x v="2"/>
    <x v="1"/>
    <x v="1"/>
    <x v="1"/>
    <n v="3"/>
    <n v="28000"/>
    <x v="12"/>
  </r>
  <r>
    <s v="ORD048"/>
    <x v="23"/>
    <x v="3"/>
    <x v="2"/>
    <x v="0"/>
    <x v="2"/>
    <n v="2"/>
    <n v="52000"/>
    <x v="10"/>
  </r>
  <r>
    <s v="ORD049"/>
    <x v="24"/>
    <x v="0"/>
    <x v="3"/>
    <x v="2"/>
    <x v="4"/>
    <n v="1"/>
    <n v="22000"/>
    <x v="7"/>
  </r>
  <r>
    <s v="ORD050"/>
    <x v="24"/>
    <x v="1"/>
    <x v="0"/>
    <x v="0"/>
    <x v="0"/>
    <n v="1"/>
    <n v="45000"/>
    <x v="5"/>
  </r>
  <r>
    <s v="ORD051"/>
    <x v="25"/>
    <x v="2"/>
    <x v="6"/>
    <x v="1"/>
    <x v="1"/>
    <n v="2"/>
    <n v="28000"/>
    <x v="6"/>
  </r>
  <r>
    <s v="ORD052"/>
    <x v="25"/>
    <x v="3"/>
    <x v="1"/>
    <x v="0"/>
    <x v="2"/>
    <n v="1"/>
    <n v="52000"/>
    <x v="2"/>
  </r>
  <r>
    <s v="ORD053"/>
    <x v="26"/>
    <x v="0"/>
    <x v="7"/>
    <x v="1"/>
    <x v="3"/>
    <n v="2"/>
    <n v="18000"/>
    <x v="8"/>
  </r>
  <r>
    <s v="ORD054"/>
    <x v="26"/>
    <x v="1"/>
    <x v="4"/>
    <x v="0"/>
    <x v="0"/>
    <n v="1"/>
    <n v="45000"/>
    <x v="5"/>
  </r>
  <r>
    <s v="ORD055"/>
    <x v="27"/>
    <x v="2"/>
    <x v="3"/>
    <x v="2"/>
    <x v="4"/>
    <n v="2"/>
    <n v="22000"/>
    <x v="4"/>
  </r>
  <r>
    <s v="ORD056"/>
    <x v="27"/>
    <x v="3"/>
    <x v="0"/>
    <x v="1"/>
    <x v="1"/>
    <n v="1"/>
    <n v="28000"/>
    <x v="1"/>
  </r>
  <r>
    <s v="ORD057"/>
    <x v="28"/>
    <x v="0"/>
    <x v="5"/>
    <x v="0"/>
    <x v="2"/>
    <n v="1"/>
    <n v="52000"/>
    <x v="2"/>
  </r>
  <r>
    <s v="ORD058"/>
    <x v="28"/>
    <x v="1"/>
    <x v="6"/>
    <x v="2"/>
    <x v="4"/>
    <n v="3"/>
    <n v="22000"/>
    <x v="9"/>
  </r>
  <r>
    <s v="ORD059"/>
    <x v="29"/>
    <x v="2"/>
    <x v="1"/>
    <x v="1"/>
    <x v="3"/>
    <n v="1"/>
    <n v="18000"/>
    <x v="11"/>
  </r>
  <r>
    <s v="ORD060"/>
    <x v="29"/>
    <x v="3"/>
    <x v="2"/>
    <x v="0"/>
    <x v="0"/>
    <n v="2"/>
    <n v="45000"/>
    <x v="0"/>
  </r>
  <r>
    <s v="ORD061"/>
    <x v="30"/>
    <x v="0"/>
    <x v="7"/>
    <x v="1"/>
    <x v="1"/>
    <n v="2"/>
    <n v="28000"/>
    <x v="6"/>
  </r>
  <r>
    <s v="ORD062"/>
    <x v="30"/>
    <x v="1"/>
    <x v="3"/>
    <x v="0"/>
    <x v="2"/>
    <n v="1"/>
    <n v="52000"/>
    <x v="2"/>
  </r>
  <r>
    <s v="ORD063"/>
    <x v="31"/>
    <x v="2"/>
    <x v="0"/>
    <x v="2"/>
    <x v="4"/>
    <n v="1"/>
    <n v="22000"/>
    <x v="7"/>
  </r>
  <r>
    <s v="ORD064"/>
    <x v="31"/>
    <x v="3"/>
    <x v="6"/>
    <x v="1"/>
    <x v="3"/>
    <n v="2"/>
    <n v="18000"/>
    <x v="8"/>
  </r>
  <r>
    <s v="ORD065"/>
    <x v="32"/>
    <x v="0"/>
    <x v="4"/>
    <x v="0"/>
    <x v="0"/>
    <n v="1"/>
    <n v="45000"/>
    <x v="5"/>
  </r>
  <r>
    <s v="ORD066"/>
    <x v="32"/>
    <x v="1"/>
    <x v="1"/>
    <x v="1"/>
    <x v="1"/>
    <n v="1"/>
    <n v="28000"/>
    <x v="1"/>
  </r>
  <r>
    <s v="ORD067"/>
    <x v="33"/>
    <x v="2"/>
    <x v="2"/>
    <x v="2"/>
    <x v="4"/>
    <n v="2"/>
    <n v="22000"/>
    <x v="4"/>
  </r>
  <r>
    <s v="ORD068"/>
    <x v="33"/>
    <x v="3"/>
    <x v="3"/>
    <x v="1"/>
    <x v="3"/>
    <n v="1"/>
    <n v="18000"/>
    <x v="11"/>
  </r>
  <r>
    <s v="ORD069"/>
    <x v="34"/>
    <x v="0"/>
    <x v="6"/>
    <x v="0"/>
    <x v="2"/>
    <n v="2"/>
    <n v="52000"/>
    <x v="10"/>
  </r>
  <r>
    <s v="ORD070"/>
    <x v="34"/>
    <x v="1"/>
    <x v="0"/>
    <x v="1"/>
    <x v="1"/>
    <n v="1"/>
    <n v="28000"/>
    <x v="1"/>
  </r>
  <r>
    <s v="ORD071"/>
    <x v="35"/>
    <x v="2"/>
    <x v="5"/>
    <x v="0"/>
    <x v="0"/>
    <n v="1"/>
    <n v="45000"/>
    <x v="5"/>
  </r>
  <r>
    <s v="ORD072"/>
    <x v="35"/>
    <x v="3"/>
    <x v="7"/>
    <x v="2"/>
    <x v="4"/>
    <n v="3"/>
    <n v="22000"/>
    <x v="9"/>
  </r>
  <r>
    <s v="ORD073"/>
    <x v="36"/>
    <x v="0"/>
    <x v="2"/>
    <x v="1"/>
    <x v="3"/>
    <n v="2"/>
    <n v="18000"/>
    <x v="8"/>
  </r>
  <r>
    <s v="ORD074"/>
    <x v="36"/>
    <x v="1"/>
    <x v="4"/>
    <x v="0"/>
    <x v="2"/>
    <n v="1"/>
    <n v="52000"/>
    <x v="2"/>
  </r>
  <r>
    <s v="ORD075"/>
    <x v="37"/>
    <x v="2"/>
    <x v="3"/>
    <x v="1"/>
    <x v="1"/>
    <n v="2"/>
    <n v="28000"/>
    <x v="6"/>
  </r>
  <r>
    <s v="ORD076"/>
    <x v="37"/>
    <x v="3"/>
    <x v="0"/>
    <x v="2"/>
    <x v="4"/>
    <n v="1"/>
    <n v="22000"/>
    <x v="7"/>
  </r>
  <r>
    <s v="ORD077"/>
    <x v="38"/>
    <x v="0"/>
    <x v="6"/>
    <x v="1"/>
    <x v="3"/>
    <n v="1"/>
    <n v="18000"/>
    <x v="11"/>
  </r>
  <r>
    <s v="ORD078"/>
    <x v="38"/>
    <x v="1"/>
    <x v="1"/>
    <x v="0"/>
    <x v="0"/>
    <n v="2"/>
    <n v="45000"/>
    <x v="0"/>
  </r>
  <r>
    <s v="ORD079"/>
    <x v="39"/>
    <x v="2"/>
    <x v="2"/>
    <x v="2"/>
    <x v="4"/>
    <n v="1"/>
    <n v="22000"/>
    <x v="7"/>
  </r>
  <r>
    <s v="ORD080"/>
    <x v="39"/>
    <x v="3"/>
    <x v="5"/>
    <x v="1"/>
    <x v="1"/>
    <n v="2"/>
    <n v="28000"/>
    <x v="6"/>
  </r>
  <r>
    <s v="ORD081"/>
    <x v="40"/>
    <x v="0"/>
    <x v="4"/>
    <x v="0"/>
    <x v="2"/>
    <n v="1"/>
    <n v="52000"/>
    <x v="2"/>
  </r>
  <r>
    <s v="ORD082"/>
    <x v="40"/>
    <x v="1"/>
    <x v="7"/>
    <x v="1"/>
    <x v="3"/>
    <n v="2"/>
    <n v="18000"/>
    <x v="8"/>
  </r>
  <r>
    <s v="ORD083"/>
    <x v="41"/>
    <x v="2"/>
    <x v="0"/>
    <x v="2"/>
    <x v="4"/>
    <n v="2"/>
    <n v="22000"/>
    <x v="4"/>
  </r>
  <r>
    <s v="ORD084"/>
    <x v="41"/>
    <x v="3"/>
    <x v="6"/>
    <x v="0"/>
    <x v="0"/>
    <n v="1"/>
    <n v="45000"/>
    <x v="5"/>
  </r>
  <r>
    <s v="ORD085"/>
    <x v="42"/>
    <x v="0"/>
    <x v="3"/>
    <x v="1"/>
    <x v="1"/>
    <n v="1"/>
    <n v="28000"/>
    <x v="1"/>
  </r>
  <r>
    <s v="ORD086"/>
    <x v="42"/>
    <x v="1"/>
    <x v="2"/>
    <x v="0"/>
    <x v="2"/>
    <n v="2"/>
    <n v="52000"/>
    <x v="10"/>
  </r>
  <r>
    <s v="ORD087"/>
    <x v="43"/>
    <x v="2"/>
    <x v="1"/>
    <x v="2"/>
    <x v="4"/>
    <n v="1"/>
    <n v="22000"/>
    <x v="7"/>
  </r>
  <r>
    <s v="ORD088"/>
    <x v="43"/>
    <x v="3"/>
    <x v="0"/>
    <x v="1"/>
    <x v="3"/>
    <n v="3"/>
    <n v="18000"/>
    <x v="3"/>
  </r>
  <r>
    <s v="ORD089"/>
    <x v="44"/>
    <x v="0"/>
    <x v="6"/>
    <x v="0"/>
    <x v="2"/>
    <n v="1"/>
    <n v="52000"/>
    <x v="2"/>
  </r>
  <r>
    <s v="ORD090"/>
    <x v="44"/>
    <x v="1"/>
    <x v="3"/>
    <x v="2"/>
    <x v="4"/>
    <n v="2"/>
    <n v="22000"/>
    <x v="4"/>
  </r>
  <r>
    <s v="ORD091"/>
    <x v="45"/>
    <x v="2"/>
    <x v="4"/>
    <x v="1"/>
    <x v="1"/>
    <n v="1"/>
    <n v="28000"/>
    <x v="1"/>
  </r>
  <r>
    <s v="ORD092"/>
    <x v="45"/>
    <x v="3"/>
    <x v="7"/>
    <x v="0"/>
    <x v="0"/>
    <n v="2"/>
    <n v="45000"/>
    <x v="0"/>
  </r>
  <r>
    <s v="ORD093"/>
    <x v="46"/>
    <x v="0"/>
    <x v="5"/>
    <x v="1"/>
    <x v="3"/>
    <n v="1"/>
    <n v="18000"/>
    <x v="11"/>
  </r>
  <r>
    <s v="ORD094"/>
    <x v="46"/>
    <x v="1"/>
    <x v="0"/>
    <x v="2"/>
    <x v="4"/>
    <n v="2"/>
    <n v="22000"/>
    <x v="4"/>
  </r>
  <r>
    <s v="ORD095"/>
    <x v="47"/>
    <x v="2"/>
    <x v="6"/>
    <x v="1"/>
    <x v="1"/>
    <n v="1"/>
    <n v="28000"/>
    <x v="1"/>
  </r>
  <r>
    <s v="ORD096"/>
    <x v="47"/>
    <x v="3"/>
    <x v="1"/>
    <x v="0"/>
    <x v="2"/>
    <n v="1"/>
    <n v="52000"/>
    <x v="2"/>
  </r>
  <r>
    <s v="ORD097"/>
    <x v="48"/>
    <x v="0"/>
    <x v="2"/>
    <x v="2"/>
    <x v="4"/>
    <n v="3"/>
    <n v="22000"/>
    <x v="9"/>
  </r>
  <r>
    <s v="ORD098"/>
    <x v="48"/>
    <x v="1"/>
    <x v="3"/>
    <x v="1"/>
    <x v="3"/>
    <n v="2"/>
    <n v="18000"/>
    <x v="8"/>
  </r>
  <r>
    <s v="ORD099"/>
    <x v="49"/>
    <x v="2"/>
    <x v="4"/>
    <x v="0"/>
    <x v="0"/>
    <n v="1"/>
    <n v="45000"/>
    <x v="5"/>
  </r>
  <r>
    <s v="ORD100"/>
    <x v="49"/>
    <x v="3"/>
    <x v="7"/>
    <x v="1"/>
    <x v="1"/>
    <n v="2"/>
    <n v="28000"/>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B7ADF3-124E-4660-B628-444F957B4222}" name="PivotTable1" cacheId="4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B8" firstHeaderRow="1" firstDataRow="1" firstDataCol="1"/>
  <pivotFields count="10">
    <pivotField showAll="0"/>
    <pivotField numFmtId="17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0"/>
        <item x="1"/>
        <item x="2"/>
        <item x="3"/>
        <item t="default"/>
      </items>
    </pivotField>
    <pivotField showAll="0"/>
    <pivotField showAll="0"/>
    <pivotField showAll="0">
      <items count="6">
        <item x="2"/>
        <item x="0"/>
        <item x="4"/>
        <item x="3"/>
        <item x="1"/>
        <item t="default"/>
      </items>
    </pivotField>
    <pivotField numFmtId="1" showAll="0"/>
    <pivotField numFmtId="175" showAll="0"/>
    <pivotField dataField="1" numFmtId="175"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Revenue" fld="8" baseField="0" baseItem="0" numFmtId="175"/>
  </dataFields>
  <formats count="5">
    <format dxfId="2">
      <pivotArea field="2" type="button" dataOnly="0" labelOnly="1" outline="0" axis="axisRow" fieldPosition="0"/>
    </format>
    <format dxfId="3">
      <pivotArea dataOnly="0" labelOnly="1" fieldPosition="0">
        <references count="1">
          <reference field="2" count="0"/>
        </references>
      </pivotArea>
    </format>
    <format dxfId="4">
      <pivotArea dataOnly="0" labelOnly="1" grandRow="1" outline="0" fieldPosition="0"/>
    </format>
    <format dxfId="5">
      <pivotArea dataOnly="0" labelOnly="1" outline="0" axis="axisValues" fieldPosition="0"/>
    </format>
    <format dxfId="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76745D-D720-4EAB-AC76-BAD7FE82174B}" name="PivotTable2" cacheId="4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C7" firstHeaderRow="0" firstDataRow="1" firstDataCol="1"/>
  <pivotFields count="10">
    <pivotField showAll="0"/>
    <pivotField numFmtId="17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4">
        <item x="0"/>
        <item x="1"/>
        <item x="2"/>
        <item t="default"/>
      </items>
    </pivotField>
    <pivotField showAll="0">
      <items count="6">
        <item x="2"/>
        <item x="0"/>
        <item x="4"/>
        <item x="3"/>
        <item x="1"/>
        <item t="default"/>
      </items>
    </pivotField>
    <pivotField numFmtId="1" showAll="0"/>
    <pivotField numFmtId="175" showAll="0"/>
    <pivotField dataField="1" numFmtId="175" showAll="0"/>
    <pivotField showAll="0">
      <items count="15">
        <item x="0"/>
        <item x="1"/>
        <item x="2"/>
        <item x="3"/>
        <item x="4"/>
        <item x="5"/>
        <item x="6"/>
        <item x="7"/>
        <item x="8"/>
        <item x="9"/>
        <item x="10"/>
        <item x="11"/>
        <item x="12"/>
        <item x="13"/>
        <item t="default"/>
      </items>
    </pivotField>
  </pivotFields>
  <rowFields count="1">
    <field x="4"/>
  </rowFields>
  <rowItems count="4">
    <i>
      <x/>
    </i>
    <i>
      <x v="1"/>
    </i>
    <i>
      <x v="2"/>
    </i>
    <i t="grand">
      <x/>
    </i>
  </rowItems>
  <colFields count="1">
    <field x="-2"/>
  </colFields>
  <colItems count="2">
    <i>
      <x/>
    </i>
    <i i="1">
      <x v="1"/>
    </i>
  </colItems>
  <dataFields count="2">
    <dataField name="Sum of Revenue" fld="8" baseField="4" baseItem="0" numFmtId="175"/>
    <dataField name="Percentage" fld="8" showDataAs="percentOfTotal" baseField="4" baseItem="0" numFmtId="10"/>
  </dataFields>
  <formats count="5">
    <format dxfId="34">
      <pivotArea field="4" type="button" dataOnly="0" labelOnly="1" outline="0" axis="axisRow" fieldPosition="0"/>
    </format>
    <format dxfId="35">
      <pivotArea dataOnly="0" labelOnly="1" fieldPosition="0">
        <references count="1">
          <reference field="4" count="0"/>
        </references>
      </pivotArea>
    </format>
    <format dxfId="36">
      <pivotArea dataOnly="0" labelOnly="1" grandRow="1" outline="0" fieldPosition="0"/>
    </format>
    <format dxfId="37">
      <pivotArea dataOnly="0" labelOnly="1" outline="0" fieldPosition="0">
        <references count="1">
          <reference field="4294967294" count="2">
            <x v="0"/>
            <x v="1"/>
          </reference>
        </references>
      </pivotArea>
    </format>
    <format dxfId="38">
      <pivotArea outline="0" collapsedLevelsAreSubtotals="1" fieldPosition="0">
        <references count="1">
          <reference field="4294967294" count="1" selected="0">
            <x v="0"/>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4" count="1" selected="0">
            <x v="0"/>
          </reference>
        </references>
      </pivotArea>
    </chartFormat>
    <chartFormat chart="2" format="12">
      <pivotArea type="data" outline="0" fieldPosition="0">
        <references count="2">
          <reference field="4294967294" count="1" selected="0">
            <x v="0"/>
          </reference>
          <reference field="4" count="1" selected="0">
            <x v="1"/>
          </reference>
        </references>
      </pivotArea>
    </chartFormat>
    <chartFormat chart="2" format="13">
      <pivotArea type="data" outline="0" fieldPosition="0">
        <references count="2">
          <reference field="4294967294" count="1" selected="0">
            <x v="0"/>
          </reference>
          <reference field="4" count="1" selected="0">
            <x v="2"/>
          </reference>
        </references>
      </pivotArea>
    </chartFormat>
    <chartFormat chart="2" format="14" series="1">
      <pivotArea type="data" outline="0" fieldPosition="0">
        <references count="1">
          <reference field="4294967294" count="1" selected="0">
            <x v="1"/>
          </reference>
        </references>
      </pivotArea>
    </chartFormat>
    <chartFormat chart="2" format="15">
      <pivotArea type="data" outline="0" fieldPosition="0">
        <references count="2">
          <reference field="4294967294" count="1" selected="0">
            <x v="1"/>
          </reference>
          <reference field="4" count="1" selected="0">
            <x v="0"/>
          </reference>
        </references>
      </pivotArea>
    </chartFormat>
    <chartFormat chart="2" format="16">
      <pivotArea type="data" outline="0" fieldPosition="0">
        <references count="2">
          <reference field="4294967294" count="1" selected="0">
            <x v="1"/>
          </reference>
          <reference field="4" count="1" selected="0">
            <x v="1"/>
          </reference>
        </references>
      </pivotArea>
    </chartFormat>
    <chartFormat chart="2" format="17">
      <pivotArea type="data" outline="0" fieldPosition="0">
        <references count="2">
          <reference field="4294967294" count="1" selected="0">
            <x v="1"/>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08982F-8DEC-4621-96C8-ADC96947ECFF}" name="PivotTable3" cacheId="4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56" firstHeaderRow="1" firstDataRow="1" firstDataCol="1"/>
  <pivotFields count="10">
    <pivotField showAll="0"/>
    <pivotField axis="axisRow" numFmtId="17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6">
        <item x="2"/>
        <item x="0"/>
        <item x="4"/>
        <item x="3"/>
        <item x="1"/>
        <item t="default"/>
      </items>
    </pivotField>
    <pivotField numFmtId="1" showAll="0"/>
    <pivotField numFmtId="175" showAll="0"/>
    <pivotField dataField="1" numFmtId="175" showAll="0"/>
    <pivotField axis="axisRow" showAll="0">
      <items count="15">
        <item x="0"/>
        <item x="1"/>
        <item x="2"/>
        <item x="3"/>
        <item x="4"/>
        <item x="5"/>
        <item x="6"/>
        <item x="7"/>
        <item x="8"/>
        <item x="9"/>
        <item x="10"/>
        <item x="11"/>
        <item x="12"/>
        <item x="13"/>
        <item t="default"/>
      </items>
    </pivotField>
  </pivotFields>
  <rowFields count="2">
    <field x="9"/>
    <field x="1"/>
  </rowFields>
  <rowItems count="53">
    <i>
      <x v="1"/>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x v="2"/>
    </i>
    <i r="1">
      <x v="32"/>
    </i>
    <i r="1">
      <x v="33"/>
    </i>
    <i r="1">
      <x v="34"/>
    </i>
    <i r="1">
      <x v="35"/>
    </i>
    <i r="1">
      <x v="36"/>
    </i>
    <i r="1">
      <x v="37"/>
    </i>
    <i r="1">
      <x v="38"/>
    </i>
    <i r="1">
      <x v="39"/>
    </i>
    <i r="1">
      <x v="40"/>
    </i>
    <i r="1">
      <x v="41"/>
    </i>
    <i r="1">
      <x v="42"/>
    </i>
    <i r="1">
      <x v="43"/>
    </i>
    <i r="1">
      <x v="44"/>
    </i>
    <i r="1">
      <x v="45"/>
    </i>
    <i r="1">
      <x v="46"/>
    </i>
    <i r="1">
      <x v="47"/>
    </i>
    <i r="1">
      <x v="48"/>
    </i>
    <i r="1">
      <x v="49"/>
    </i>
    <i r="1">
      <x v="50"/>
    </i>
    <i t="grand">
      <x/>
    </i>
  </rowItems>
  <colItems count="1">
    <i/>
  </colItems>
  <dataFields count="1">
    <dataField name="Sum of Revenue" fld="8" baseField="0" baseItem="0" numFmtId="175"/>
  </dataFields>
  <formats count="6">
    <format dxfId="28">
      <pivotArea field="9" type="button" dataOnly="0" labelOnly="1" outline="0" axis="axisRow" fieldPosition="0"/>
    </format>
    <format dxfId="29">
      <pivotArea dataOnly="0" labelOnly="1" outline="0" axis="axisValues" fieldPosition="0"/>
    </format>
    <format dxfId="30">
      <pivotArea dataOnly="0" labelOnly="1" fieldPosition="0">
        <references count="1">
          <reference field="9" count="1">
            <x v="1"/>
          </reference>
        </references>
      </pivotArea>
    </format>
    <format dxfId="31">
      <pivotArea dataOnly="0" labelOnly="1" fieldPosition="0">
        <references count="1">
          <reference field="9" count="1">
            <x v="2"/>
          </reference>
        </references>
      </pivotArea>
    </format>
    <format dxfId="32">
      <pivotArea dataOnly="0" labelOnly="1" grandRow="1" outline="0" fieldPosition="0"/>
    </format>
    <format dxfId="3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4A19FD-FDC3-40DB-A80C-F499BABC2B23}" name="PivotTable4" cacheId="4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9" firstHeaderRow="1" firstDataRow="1" firstDataCol="1"/>
  <pivotFields count="10">
    <pivotField showAll="0"/>
    <pivotField numFmtId="170" showAll="0"/>
    <pivotField showAll="0"/>
    <pivotField axis="axisRow" showAll="0" measureFilter="1" sortType="descending">
      <items count="9">
        <item x="0"/>
        <item x="6"/>
        <item x="4"/>
        <item x="3"/>
        <item x="5"/>
        <item x="1"/>
        <item x="2"/>
        <item x="7"/>
        <item t="default"/>
      </items>
      <autoSortScope>
        <pivotArea dataOnly="0" outline="0" fieldPosition="0">
          <references count="1">
            <reference field="4294967294" count="1" selected="0">
              <x v="0"/>
            </reference>
          </references>
        </pivotArea>
      </autoSortScope>
    </pivotField>
    <pivotField showAll="0"/>
    <pivotField showAll="0">
      <items count="6">
        <item x="2"/>
        <item x="0"/>
        <item x="4"/>
        <item x="3"/>
        <item x="1"/>
        <item t="default"/>
      </items>
    </pivotField>
    <pivotField numFmtId="1" showAll="0"/>
    <pivotField numFmtId="175" showAll="0"/>
    <pivotField dataField="1" numFmtId="175" showAll="0"/>
    <pivotField showAll="0" defaultSubtotal="0">
      <items count="14">
        <item x="0"/>
        <item x="1"/>
        <item x="2"/>
        <item x="3"/>
        <item x="4"/>
        <item x="5"/>
        <item x="6"/>
        <item x="7"/>
        <item x="8"/>
        <item x="9"/>
        <item x="10"/>
        <item x="11"/>
        <item x="12"/>
        <item x="13"/>
      </items>
    </pivotField>
  </pivotFields>
  <rowFields count="1">
    <field x="3"/>
  </rowFields>
  <rowItems count="6">
    <i>
      <x v="6"/>
    </i>
    <i>
      <x v="1"/>
    </i>
    <i>
      <x/>
    </i>
    <i>
      <x v="5"/>
    </i>
    <i>
      <x v="3"/>
    </i>
    <i t="grand">
      <x/>
    </i>
  </rowItems>
  <colItems count="1">
    <i/>
  </colItems>
  <dataFields count="1">
    <dataField name="Sum of Revenue" fld="8" baseField="0" baseItem="0" numFmtId="175"/>
  </dataFields>
  <formats count="5">
    <format dxfId="23">
      <pivotArea field="3" type="button" dataOnly="0" labelOnly="1" outline="0" axis="axisRow" fieldPosition="0"/>
    </format>
    <format dxfId="24">
      <pivotArea dataOnly="0" labelOnly="1" fieldPosition="0">
        <references count="1">
          <reference field="3" count="0"/>
        </references>
      </pivotArea>
    </format>
    <format dxfId="25">
      <pivotArea dataOnly="0" labelOnly="1" grandRow="1" outline="0" fieldPosition="0"/>
    </format>
    <format dxfId="26">
      <pivotArea dataOnly="0" labelOnly="1" outline="0" axis="axisValues" fieldPosition="0"/>
    </format>
    <format dxfId="2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813985-251F-4C89-BFD8-C94C0FB54C0D}" name="PivotTable11" cacheId="4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11:J20" firstHeaderRow="1" firstDataRow="1" firstDataCol="1"/>
  <pivotFields count="10">
    <pivotField showAll="0"/>
    <pivotField numFmtId="170" showAll="0"/>
    <pivotField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axis="axisRow" showAll="0" sortType="descending">
      <items count="9">
        <item x="0"/>
        <item x="6"/>
        <item x="4"/>
        <item x="3"/>
        <item x="5"/>
        <item x="1"/>
        <item x="2"/>
        <item x="7"/>
        <item t="default"/>
      </items>
      <autoSortScope>
        <pivotArea dataOnly="0" outline="0" fieldPosition="0">
          <references count="1">
            <reference field="4294967294" count="1" selected="0">
              <x v="0"/>
            </reference>
          </references>
        </pivotArea>
      </autoSortScope>
    </pivotField>
    <pivotField showAll="0"/>
    <pivotField showAll="0" sortType="ascending">
      <items count="6">
        <item x="2"/>
        <item x="0"/>
        <item x="4"/>
        <item x="3"/>
        <item x="1"/>
        <item t="default"/>
      </items>
    </pivotField>
    <pivotField numFmtId="1" showAll="0"/>
    <pivotField numFmtId="175" showAll="0"/>
    <pivotField dataField="1" numFmtId="175" showAll="0"/>
    <pivotField showAll="0" defaultSubtotal="0">
      <items count="14">
        <item x="0"/>
        <item x="1"/>
        <item x="2"/>
        <item x="3"/>
        <item x="4"/>
        <item x="5"/>
        <item x="6"/>
        <item x="7"/>
        <item x="8"/>
        <item x="9"/>
        <item x="10"/>
        <item x="11"/>
        <item x="12"/>
        <item x="13"/>
      </items>
    </pivotField>
  </pivotFields>
  <rowFields count="1">
    <field x="3"/>
  </rowFields>
  <rowItems count="9">
    <i>
      <x v="6"/>
    </i>
    <i>
      <x v="1"/>
    </i>
    <i>
      <x/>
    </i>
    <i>
      <x v="5"/>
    </i>
    <i>
      <x v="3"/>
    </i>
    <i>
      <x v="7"/>
    </i>
    <i>
      <x v="2"/>
    </i>
    <i>
      <x v="4"/>
    </i>
    <i t="grand">
      <x/>
    </i>
  </rowItems>
  <colItems count="1">
    <i/>
  </colItems>
  <dataFields count="1">
    <dataField name="Sum of Revenue" fld="8" baseField="0" baseItem="0" numFmtId="175"/>
  </dataFields>
  <formats count="6">
    <format dxfId="10">
      <pivotArea outline="0" collapsedLevelsAreSubtotals="1" fieldPosition="0"/>
    </format>
    <format dxfId="11">
      <pivotArea dataOnly="0" labelOnly="1" outline="0" axis="axisValues" fieldPosition="0"/>
    </format>
    <format dxfId="12">
      <pivotArea field="2" type="button" dataOnly="0" labelOnly="1" outline="0"/>
    </format>
    <format dxfId="9">
      <pivotArea field="3" type="button" dataOnly="0" labelOnly="1" outline="0" axis="axisRow" fieldPosition="0"/>
    </format>
    <format dxfId="8">
      <pivotArea dataOnly="0" labelOnly="1" fieldPosition="0">
        <references count="1">
          <reference field="3" count="0"/>
        </references>
      </pivotArea>
    </format>
    <format dxfId="7">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8AEBF4-4CFB-4639-97C6-78D86DD58C6B}" name="PivotTable10" cacheId="4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2:J7" firstHeaderRow="1" firstDataRow="1" firstDataCol="1"/>
  <pivotFields count="10">
    <pivotField showAll="0"/>
    <pivotField numFmtId="170" showAll="0"/>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pivotField showAll="0"/>
    <pivotField showAll="0" sortType="ascending">
      <items count="6">
        <item x="2"/>
        <item x="0"/>
        <item x="4"/>
        <item x="3"/>
        <item x="1"/>
        <item t="default"/>
      </items>
    </pivotField>
    <pivotField numFmtId="1" showAll="0"/>
    <pivotField numFmtId="175" showAll="0"/>
    <pivotField dataField="1" numFmtId="175" showAll="0"/>
    <pivotField showAll="0" defaultSubtotal="0">
      <items count="14">
        <item x="0"/>
        <item x="1"/>
        <item x="2"/>
        <item x="3"/>
        <item x="4"/>
        <item x="5"/>
        <item x="6"/>
        <item x="7"/>
        <item x="8"/>
        <item x="9"/>
        <item x="10"/>
        <item x="11"/>
        <item x="12"/>
        <item x="13"/>
      </items>
    </pivotField>
  </pivotFields>
  <rowFields count="1">
    <field x="2"/>
  </rowFields>
  <rowItems count="5">
    <i>
      <x/>
    </i>
    <i>
      <x v="3"/>
    </i>
    <i>
      <x v="1"/>
    </i>
    <i>
      <x v="2"/>
    </i>
    <i t="grand">
      <x/>
    </i>
  </rowItems>
  <colItems count="1">
    <i/>
  </colItems>
  <dataFields count="1">
    <dataField name="Sum of Revenue" fld="8" baseField="0" baseItem="0" numFmtId="175"/>
  </dataFields>
  <formats count="5">
    <format dxfId="20">
      <pivotArea outline="0" collapsedLevelsAreSubtotals="1" fieldPosition="0"/>
    </format>
    <format dxfId="21">
      <pivotArea dataOnly="0" labelOnly="1" outline="0" axis="axisValues" fieldPosition="0"/>
    </format>
    <format dxfId="15">
      <pivotArea field="2" type="button" dataOnly="0" labelOnly="1" outline="0" axis="axisRow" fieldPosition="0"/>
    </format>
    <format dxfId="14">
      <pivotArea dataOnly="0" labelOnly="1" fieldPosition="0">
        <references count="1">
          <reference field="2" count="0"/>
        </references>
      </pivotArea>
    </format>
    <format dxfId="1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02D511-4C67-4647-8D82-AB6C0ADBBD98}" name="PivotTable9" cacheId="4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3:B19" firstHeaderRow="1" firstDataRow="1" firstDataCol="1"/>
  <pivotFields count="10">
    <pivotField showAll="0"/>
    <pivotField numFmtId="170" showAll="0"/>
    <pivotField showAll="0"/>
    <pivotField showAll="0"/>
    <pivotField showAll="0"/>
    <pivotField axis="axisRow" showAll="0" sortType="descending">
      <items count="6">
        <item x="2"/>
        <item x="0"/>
        <item x="4"/>
        <item x="3"/>
        <item x="1"/>
        <item t="default"/>
      </items>
      <autoSortScope>
        <pivotArea dataOnly="0" outline="0" fieldPosition="0">
          <references count="1">
            <reference field="4294967294" count="1" selected="0">
              <x v="0"/>
            </reference>
          </references>
        </pivotArea>
      </autoSortScope>
    </pivotField>
    <pivotField numFmtId="1" showAll="0"/>
    <pivotField numFmtId="175" showAll="0"/>
    <pivotField dataField="1" numFmtId="175" showAll="0"/>
    <pivotField showAll="0" defaultSubtotal="0">
      <items count="14">
        <item x="0"/>
        <item x="1"/>
        <item x="2"/>
        <item x="3"/>
        <item x="4"/>
        <item x="5"/>
        <item x="6"/>
        <item x="7"/>
        <item x="8"/>
        <item x="9"/>
        <item x="10"/>
        <item x="11"/>
        <item x="12"/>
        <item x="13"/>
      </items>
    </pivotField>
  </pivotFields>
  <rowFields count="1">
    <field x="5"/>
  </rowFields>
  <rowItems count="6">
    <i>
      <x/>
    </i>
    <i>
      <x v="1"/>
    </i>
    <i>
      <x v="4"/>
    </i>
    <i>
      <x v="2"/>
    </i>
    <i>
      <x v="3"/>
    </i>
    <i t="grand">
      <x/>
    </i>
  </rowItems>
  <colItems count="1">
    <i/>
  </colItems>
  <dataFields count="1">
    <dataField name="Sum of Revenue" fld="8" baseField="0" baseItem="0" numFmtId="175"/>
  </dataFields>
  <formats count="5">
    <format dxfId="22">
      <pivotArea outline="0" collapsedLevelsAreSubtotals="1" fieldPosition="0"/>
    </format>
    <format dxfId="19">
      <pivotArea field="5" type="button" dataOnly="0" labelOnly="1" outline="0" axis="axisRow" fieldPosition="0"/>
    </format>
    <format dxfId="18">
      <pivotArea dataOnly="0" labelOnly="1" fieldPosition="0">
        <references count="1">
          <reference field="5" count="0"/>
        </references>
      </pivotArea>
    </format>
    <format dxfId="17">
      <pivotArea dataOnly="0" labelOnly="1" grandRow="1" outline="0" fieldPosition="0"/>
    </format>
    <format dxfId="1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4D7F1D-9D95-431B-B99E-8D58171780B0}" name="PivotTable8" cacheId="4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0">
    <pivotField showAll="0"/>
    <pivotField numFmtId="170" showAll="0"/>
    <pivotField showAll="0"/>
    <pivotField showAll="0"/>
    <pivotField showAll="0"/>
    <pivotField showAll="0">
      <items count="6">
        <item x="2"/>
        <item x="0"/>
        <item x="4"/>
        <item x="3"/>
        <item x="1"/>
        <item t="default"/>
      </items>
    </pivotField>
    <pivotField numFmtId="1" showAll="0"/>
    <pivotField numFmtId="175" showAll="0"/>
    <pivotField dataField="1" numFmtId="175" showAl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Revenue" fld="8" baseField="0" baseItem="0" numFmtId="175"/>
  </dataFields>
  <formats count="2">
    <format dxfId="39">
      <pivotArea outline="0" collapsedLevelsAreSubtotals="1" fieldPosition="0"/>
    </format>
    <format dxfId="4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A3A21C11-3E9F-4015-BEAC-DB3859DE2249}" sourceName="Months">
  <pivotTables>
    <pivotTable tabId="3" name="PivotTable1"/>
    <pivotTable tabId="12" name="PivotTable10"/>
    <pivotTable tabId="12" name="PivotTable11"/>
    <pivotTable tabId="12" name="PivotTable8"/>
    <pivotTable tabId="12" name="PivotTable9"/>
    <pivotTable tabId="5" name="PivotTable3"/>
    <pivotTable tabId="4" name="PivotTable2"/>
    <pivotTable tabId="6" name="PivotTable4"/>
  </pivotTables>
  <data>
    <tabular pivotCacheId="1554897219">
      <items count="14">
        <i x="1" s="1"/>
        <i x="2" s="1"/>
        <i x="3" s="1" nd="1"/>
        <i x="4" s="1" nd="1"/>
        <i x="5" s="1" nd="1"/>
        <i x="6" s="1" nd="1"/>
        <i x="7" s="1" nd="1"/>
        <i x="8" s="1" nd="1"/>
        <i x="9" s="1" nd="1"/>
        <i x="10" s="1" nd="1"/>
        <i x="11" s="1" nd="1"/>
        <i x="12" s="1" nd="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CCF3F299-BEA4-4E58-8D2C-38DFD03047D4}" cache="Slicer_Months" caption="Months" style="B &amp; W"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1E8CFE-18A6-4683-9618-AA5D6844E072}" name="Table1" displayName="Table1" ref="A1:I101" totalsRowShown="0" headerRowDxfId="41" dataDxfId="42">
  <autoFilter ref="A1:I101" xr:uid="{C01E8CFE-18A6-4683-9618-AA5D6844E072}"/>
  <tableColumns count="9">
    <tableColumn id="1" xr3:uid="{EC0F8E6E-A7D0-45EC-993D-BE17B1DE445A}" name="Order_Id" dataDxfId="51"/>
    <tableColumn id="2" xr3:uid="{BB2A5303-25FF-4237-B0FC-BF0E7011BAF4}" name="Date" dataDxfId="50"/>
    <tableColumn id="3" xr3:uid="{23F2B52A-9841-4567-8921-02EE5CE5FA8A}" name="Store" dataDxfId="49"/>
    <tableColumn id="4" xr3:uid="{E6F582F0-5A5A-44EE-A99D-F42D2D598F66}" name="Customer" dataDxfId="48"/>
    <tableColumn id="5" xr3:uid="{7290D498-C1C0-44B1-9BC2-63FAC8382FCE}" name="Category" dataDxfId="47"/>
    <tableColumn id="6" xr3:uid="{BD43703A-7FD4-456B-B88B-57B5C85DA063}" name="Product" dataDxfId="46"/>
    <tableColumn id="7" xr3:uid="{8EB0594E-92E5-47D1-8019-F6DB798D4C70}" name="Quantity" dataDxfId="45"/>
    <tableColumn id="8" xr3:uid="{A55CB0FA-EF9C-4B95-949F-4F491CEA8D9D}" name="Unit_Price" dataDxfId="44"/>
    <tableColumn id="9" xr3:uid="{E8968686-1137-4615-898C-8A2146D9E3D6}" name="Revenue" dataDxfId="43">
      <calculatedColumnFormula>G2*H2</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drawing" Target="../drawings/drawing5.xml"/><Relationship Id="rId4"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
  <sheetViews>
    <sheetView tabSelected="1" zoomScale="98" zoomScaleNormal="98" workbookViewId="0">
      <selection activeCell="E12" sqref="E12"/>
    </sheetView>
  </sheetViews>
  <sheetFormatPr defaultRowHeight="15" x14ac:dyDescent="0.25"/>
  <cols>
    <col min="1" max="1" width="84.28515625" bestFit="1" customWidth="1"/>
  </cols>
  <sheetData>
    <row r="1" spans="1:1" ht="15.75" x14ac:dyDescent="0.25">
      <c r="A1" s="1" t="s">
        <v>0</v>
      </c>
    </row>
    <row r="2" spans="1:1" ht="15.75" x14ac:dyDescent="0.25">
      <c r="A2" s="1" t="s">
        <v>1</v>
      </c>
    </row>
    <row r="3" spans="1:1" ht="15.75" x14ac:dyDescent="0.25">
      <c r="A3" s="1" t="s">
        <v>2</v>
      </c>
    </row>
    <row r="4" spans="1:1" ht="15.75" x14ac:dyDescent="0.25">
      <c r="A4" s="1" t="s">
        <v>3</v>
      </c>
    </row>
    <row r="5" spans="1:1" ht="15.75" x14ac:dyDescent="0.25">
      <c r="A5" s="1" t="s">
        <v>4</v>
      </c>
    </row>
    <row r="6" spans="1:1" ht="15.75" x14ac:dyDescent="0.25">
      <c r="A6" s="1" t="s">
        <v>5</v>
      </c>
    </row>
    <row r="7" spans="1:1" ht="15.75" x14ac:dyDescent="0.25">
      <c r="A7" s="1" t="s">
        <v>6</v>
      </c>
    </row>
    <row r="8" spans="1:1" ht="15.75" x14ac:dyDescent="0.25">
      <c r="A8" s="1" t="s">
        <v>7</v>
      </c>
    </row>
    <row r="9" spans="1:1" ht="15.75" x14ac:dyDescent="0.25">
      <c r="A9" s="1" t="s">
        <v>8</v>
      </c>
    </row>
    <row r="10" spans="1:1" ht="15.75" x14ac:dyDescent="0.25">
      <c r="A10" s="1" t="s">
        <v>9</v>
      </c>
    </row>
    <row r="11" spans="1:1" ht="15.75" x14ac:dyDescent="0.25">
      <c r="A11" s="1" t="s">
        <v>10</v>
      </c>
    </row>
    <row r="12" spans="1:1" ht="15.75" x14ac:dyDescent="0.25">
      <c r="A12" s="1" t="s">
        <v>11</v>
      </c>
    </row>
    <row r="13" spans="1:1" ht="15.75" x14ac:dyDescent="0.25">
      <c r="A13" s="1" t="s">
        <v>12</v>
      </c>
    </row>
    <row r="14" spans="1:1" ht="15.75" x14ac:dyDescent="0.25">
      <c r="A14" s="1" t="s">
        <v>13</v>
      </c>
    </row>
    <row r="15" spans="1:1" ht="15.75" x14ac:dyDescent="0.25">
      <c r="A15" s="1" t="s">
        <v>14</v>
      </c>
    </row>
    <row r="16" spans="1:1" ht="15.75" x14ac:dyDescent="0.25">
      <c r="A16" s="1" t="s">
        <v>15</v>
      </c>
    </row>
    <row r="17" spans="1:1" ht="15.75" x14ac:dyDescent="0.25">
      <c r="A17" s="1" t="s">
        <v>16</v>
      </c>
    </row>
    <row r="18" spans="1:1" ht="15.75" x14ac:dyDescent="0.25">
      <c r="A18" s="1" t="s">
        <v>17</v>
      </c>
    </row>
    <row r="19" spans="1:1" ht="15.75" x14ac:dyDescent="0.25">
      <c r="A19" s="1" t="s">
        <v>18</v>
      </c>
    </row>
    <row r="20" spans="1:1" ht="15.75" x14ac:dyDescent="0.25">
      <c r="A20" s="1" t="s">
        <v>19</v>
      </c>
    </row>
    <row r="21" spans="1:1" ht="15.75" x14ac:dyDescent="0.25">
      <c r="A21" s="1" t="s">
        <v>20</v>
      </c>
    </row>
    <row r="22" spans="1:1" ht="15.75" x14ac:dyDescent="0.25">
      <c r="A22" s="1" t="s">
        <v>21</v>
      </c>
    </row>
    <row r="23" spans="1:1" ht="15.75" x14ac:dyDescent="0.25">
      <c r="A23" s="1" t="s">
        <v>22</v>
      </c>
    </row>
    <row r="24" spans="1:1" ht="15.75" x14ac:dyDescent="0.25">
      <c r="A24" s="1" t="s">
        <v>23</v>
      </c>
    </row>
    <row r="25" spans="1:1" ht="15.75" x14ac:dyDescent="0.25">
      <c r="A25" s="1" t="s">
        <v>24</v>
      </c>
    </row>
    <row r="26" spans="1:1" ht="15.75" x14ac:dyDescent="0.25">
      <c r="A26" s="1" t="s">
        <v>25</v>
      </c>
    </row>
    <row r="27" spans="1:1" ht="15.75" x14ac:dyDescent="0.25">
      <c r="A27" s="1" t="s">
        <v>26</v>
      </c>
    </row>
    <row r="28" spans="1:1" ht="15.75" x14ac:dyDescent="0.25">
      <c r="A28" s="1" t="s">
        <v>27</v>
      </c>
    </row>
    <row r="29" spans="1:1" ht="15.75" x14ac:dyDescent="0.25">
      <c r="A29" s="1" t="s">
        <v>28</v>
      </c>
    </row>
    <row r="30" spans="1:1" ht="15.75" x14ac:dyDescent="0.25">
      <c r="A30" s="1" t="s">
        <v>29</v>
      </c>
    </row>
    <row r="31" spans="1:1" ht="15.75" x14ac:dyDescent="0.25">
      <c r="A31" s="1" t="s">
        <v>30</v>
      </c>
    </row>
    <row r="32" spans="1:1" ht="15.75" x14ac:dyDescent="0.25">
      <c r="A32" s="1" t="s">
        <v>31</v>
      </c>
    </row>
    <row r="33" spans="1:1" ht="15.75" x14ac:dyDescent="0.25">
      <c r="A33" s="1" t="s">
        <v>32</v>
      </c>
    </row>
    <row r="34" spans="1:1" ht="15.75" x14ac:dyDescent="0.25">
      <c r="A34" s="1" t="s">
        <v>33</v>
      </c>
    </row>
    <row r="35" spans="1:1" ht="15.75" x14ac:dyDescent="0.25">
      <c r="A35" s="1" t="s">
        <v>34</v>
      </c>
    </row>
    <row r="36" spans="1:1" ht="15.75" x14ac:dyDescent="0.25">
      <c r="A36" s="1" t="s">
        <v>35</v>
      </c>
    </row>
    <row r="37" spans="1:1" ht="15.75" x14ac:dyDescent="0.25">
      <c r="A37" s="1" t="s">
        <v>36</v>
      </c>
    </row>
    <row r="38" spans="1:1" ht="15.75" x14ac:dyDescent="0.25">
      <c r="A38" s="1" t="s">
        <v>37</v>
      </c>
    </row>
    <row r="39" spans="1:1" ht="15.75" x14ac:dyDescent="0.25">
      <c r="A39" s="1" t="s">
        <v>38</v>
      </c>
    </row>
    <row r="40" spans="1:1" ht="15.75" x14ac:dyDescent="0.25">
      <c r="A40" s="1" t="s">
        <v>39</v>
      </c>
    </row>
    <row r="41" spans="1:1" ht="15.75" x14ac:dyDescent="0.25">
      <c r="A41" s="1" t="s">
        <v>40</v>
      </c>
    </row>
    <row r="42" spans="1:1" ht="15.75" x14ac:dyDescent="0.25">
      <c r="A42" s="1" t="s">
        <v>41</v>
      </c>
    </row>
    <row r="43" spans="1:1" ht="15.75" x14ac:dyDescent="0.25">
      <c r="A43" s="1" t="s">
        <v>42</v>
      </c>
    </row>
    <row r="44" spans="1:1" ht="15.75" x14ac:dyDescent="0.25">
      <c r="A44" s="1" t="s">
        <v>43</v>
      </c>
    </row>
    <row r="45" spans="1:1" ht="15.75" x14ac:dyDescent="0.25">
      <c r="A45" s="1" t="s">
        <v>44</v>
      </c>
    </row>
    <row r="46" spans="1:1" ht="15.75" x14ac:dyDescent="0.25">
      <c r="A46" s="1" t="s">
        <v>45</v>
      </c>
    </row>
    <row r="47" spans="1:1" ht="15.75" x14ac:dyDescent="0.25">
      <c r="A47" s="1" t="s">
        <v>46</v>
      </c>
    </row>
    <row r="48" spans="1:1" ht="15.75" x14ac:dyDescent="0.25">
      <c r="A48" s="1" t="s">
        <v>47</v>
      </c>
    </row>
    <row r="49" spans="1:1" ht="15.75" x14ac:dyDescent="0.25">
      <c r="A49" s="1" t="s">
        <v>48</v>
      </c>
    </row>
    <row r="50" spans="1:1" ht="15.75" x14ac:dyDescent="0.25">
      <c r="A50" s="1" t="s">
        <v>49</v>
      </c>
    </row>
    <row r="51" spans="1:1" ht="15.75" x14ac:dyDescent="0.25">
      <c r="A51" s="1" t="s">
        <v>50</v>
      </c>
    </row>
    <row r="52" spans="1:1" ht="15.75" x14ac:dyDescent="0.25">
      <c r="A52" s="1" t="s">
        <v>51</v>
      </c>
    </row>
    <row r="53" spans="1:1" ht="15.75" x14ac:dyDescent="0.25">
      <c r="A53" s="1" t="s">
        <v>52</v>
      </c>
    </row>
    <row r="54" spans="1:1" ht="15.75" x14ac:dyDescent="0.25">
      <c r="A54" s="1" t="s">
        <v>53</v>
      </c>
    </row>
    <row r="55" spans="1:1" ht="15.75" x14ac:dyDescent="0.25">
      <c r="A55" s="1" t="s">
        <v>54</v>
      </c>
    </row>
    <row r="56" spans="1:1" ht="15.75" x14ac:dyDescent="0.25">
      <c r="A56" s="1" t="s">
        <v>55</v>
      </c>
    </row>
    <row r="57" spans="1:1" ht="15.75" x14ac:dyDescent="0.25">
      <c r="A57" s="1" t="s">
        <v>56</v>
      </c>
    </row>
    <row r="58" spans="1:1" ht="15.75" x14ac:dyDescent="0.25">
      <c r="A58" s="1" t="s">
        <v>57</v>
      </c>
    </row>
    <row r="59" spans="1:1" ht="15.75" x14ac:dyDescent="0.25">
      <c r="A59" s="1" t="s">
        <v>58</v>
      </c>
    </row>
    <row r="60" spans="1:1" ht="15.75" x14ac:dyDescent="0.25">
      <c r="A60" s="1" t="s">
        <v>59</v>
      </c>
    </row>
    <row r="61" spans="1:1" ht="15.75" x14ac:dyDescent="0.25">
      <c r="A61" s="1" t="s">
        <v>60</v>
      </c>
    </row>
    <row r="62" spans="1:1" ht="15.75" x14ac:dyDescent="0.25">
      <c r="A62" s="1" t="s">
        <v>61</v>
      </c>
    </row>
    <row r="63" spans="1:1" ht="15.75" x14ac:dyDescent="0.25">
      <c r="A63" s="1" t="s">
        <v>62</v>
      </c>
    </row>
    <row r="64" spans="1:1" ht="15.75" x14ac:dyDescent="0.25">
      <c r="A64" s="1" t="s">
        <v>63</v>
      </c>
    </row>
    <row r="65" spans="1:1" ht="15.75" x14ac:dyDescent="0.25">
      <c r="A65" s="1" t="s">
        <v>64</v>
      </c>
    </row>
    <row r="66" spans="1:1" ht="15.75" x14ac:dyDescent="0.25">
      <c r="A66" s="1" t="s">
        <v>65</v>
      </c>
    </row>
    <row r="67" spans="1:1" ht="15.75" x14ac:dyDescent="0.25">
      <c r="A67" s="1" t="s">
        <v>66</v>
      </c>
    </row>
    <row r="68" spans="1:1" ht="15.75" x14ac:dyDescent="0.25">
      <c r="A68" s="1" t="s">
        <v>67</v>
      </c>
    </row>
    <row r="69" spans="1:1" ht="15.75" x14ac:dyDescent="0.25">
      <c r="A69" s="1" t="s">
        <v>68</v>
      </c>
    </row>
    <row r="70" spans="1:1" ht="15.75" x14ac:dyDescent="0.25">
      <c r="A70" s="1" t="s">
        <v>69</v>
      </c>
    </row>
    <row r="71" spans="1:1" ht="15.75" x14ac:dyDescent="0.25">
      <c r="A71" s="1" t="s">
        <v>70</v>
      </c>
    </row>
    <row r="72" spans="1:1" ht="15.75" x14ac:dyDescent="0.25">
      <c r="A72" s="1" t="s">
        <v>71</v>
      </c>
    </row>
    <row r="73" spans="1:1" ht="15.75" x14ac:dyDescent="0.25">
      <c r="A73" s="1" t="s">
        <v>72</v>
      </c>
    </row>
    <row r="74" spans="1:1" ht="15.75" x14ac:dyDescent="0.25">
      <c r="A74" s="1" t="s">
        <v>73</v>
      </c>
    </row>
    <row r="75" spans="1:1" ht="15.75" x14ac:dyDescent="0.25">
      <c r="A75" s="1" t="s">
        <v>74</v>
      </c>
    </row>
    <row r="76" spans="1:1" ht="15.75" x14ac:dyDescent="0.25">
      <c r="A76" s="1" t="s">
        <v>75</v>
      </c>
    </row>
    <row r="77" spans="1:1" ht="15.75" x14ac:dyDescent="0.25">
      <c r="A77" s="1" t="s">
        <v>76</v>
      </c>
    </row>
    <row r="78" spans="1:1" ht="15.75" x14ac:dyDescent="0.25">
      <c r="A78" s="1" t="s">
        <v>77</v>
      </c>
    </row>
    <row r="79" spans="1:1" ht="15.75" x14ac:dyDescent="0.25">
      <c r="A79" s="1" t="s">
        <v>78</v>
      </c>
    </row>
    <row r="80" spans="1:1" ht="15.75" x14ac:dyDescent="0.25">
      <c r="A80" s="1" t="s">
        <v>79</v>
      </c>
    </row>
    <row r="81" spans="1:1" ht="15.75" x14ac:dyDescent="0.25">
      <c r="A81" s="1" t="s">
        <v>80</v>
      </c>
    </row>
    <row r="82" spans="1:1" ht="15.75" x14ac:dyDescent="0.25">
      <c r="A82" s="1" t="s">
        <v>81</v>
      </c>
    </row>
    <row r="83" spans="1:1" ht="15.75" x14ac:dyDescent="0.25">
      <c r="A83" s="1" t="s">
        <v>82</v>
      </c>
    </row>
    <row r="84" spans="1:1" ht="15.75" x14ac:dyDescent="0.25">
      <c r="A84" s="1" t="s">
        <v>83</v>
      </c>
    </row>
    <row r="85" spans="1:1" ht="15.75" x14ac:dyDescent="0.25">
      <c r="A85" s="1" t="s">
        <v>84</v>
      </c>
    </row>
    <row r="86" spans="1:1" ht="15.75" x14ac:dyDescent="0.25">
      <c r="A86" s="1" t="s">
        <v>85</v>
      </c>
    </row>
    <row r="87" spans="1:1" ht="15.75" x14ac:dyDescent="0.25">
      <c r="A87" s="1" t="s">
        <v>86</v>
      </c>
    </row>
    <row r="88" spans="1:1" ht="15.75" x14ac:dyDescent="0.25">
      <c r="A88" s="1" t="s">
        <v>87</v>
      </c>
    </row>
    <row r="89" spans="1:1" ht="15.75" x14ac:dyDescent="0.25">
      <c r="A89" s="1" t="s">
        <v>88</v>
      </c>
    </row>
    <row r="90" spans="1:1" ht="15.75" x14ac:dyDescent="0.25">
      <c r="A90" s="1" t="s">
        <v>89</v>
      </c>
    </row>
    <row r="91" spans="1:1" ht="15.75" x14ac:dyDescent="0.25">
      <c r="A91" s="1" t="s">
        <v>90</v>
      </c>
    </row>
    <row r="92" spans="1:1" ht="15.75" x14ac:dyDescent="0.25">
      <c r="A92" s="1" t="s">
        <v>91</v>
      </c>
    </row>
    <row r="93" spans="1:1" ht="15.75" x14ac:dyDescent="0.25">
      <c r="A93" s="1" t="s">
        <v>92</v>
      </c>
    </row>
    <row r="94" spans="1:1" ht="15.75" x14ac:dyDescent="0.25">
      <c r="A94" s="1" t="s">
        <v>93</v>
      </c>
    </row>
    <row r="95" spans="1:1" ht="15.75" x14ac:dyDescent="0.25">
      <c r="A95" s="1" t="s">
        <v>94</v>
      </c>
    </row>
    <row r="96" spans="1:1" ht="15.75" x14ac:dyDescent="0.25">
      <c r="A96" s="1" t="s">
        <v>95</v>
      </c>
    </row>
    <row r="97" spans="1:1" ht="15.75" x14ac:dyDescent="0.25">
      <c r="A97" s="1" t="s">
        <v>96</v>
      </c>
    </row>
    <row r="98" spans="1:1" ht="15.75" x14ac:dyDescent="0.25">
      <c r="A98" s="1" t="s">
        <v>97</v>
      </c>
    </row>
    <row r="99" spans="1:1" ht="15.75" x14ac:dyDescent="0.25">
      <c r="A99" s="1" t="s">
        <v>98</v>
      </c>
    </row>
    <row r="100" spans="1:1" ht="15.75" x14ac:dyDescent="0.25">
      <c r="A100" s="1" t="s">
        <v>99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104E4-5935-4B5C-92B4-D4147A68A3F7}">
  <dimension ref="A1:O101"/>
  <sheetViews>
    <sheetView topLeftCell="D83" zoomScale="115" zoomScaleNormal="115" workbookViewId="0">
      <selection activeCell="J90" sqref="J90"/>
    </sheetView>
  </sheetViews>
  <sheetFormatPr defaultRowHeight="15" x14ac:dyDescent="0.25"/>
  <cols>
    <col min="1" max="1" width="13.42578125" bestFit="1" customWidth="1"/>
    <col min="2" max="2" width="12.85546875" bestFit="1" customWidth="1"/>
    <col min="3" max="3" width="12.140625" bestFit="1" customWidth="1"/>
    <col min="4" max="4" width="14.140625" bestFit="1" customWidth="1"/>
    <col min="5" max="5" width="13.42578125" bestFit="1" customWidth="1"/>
    <col min="6" max="6" width="17" bestFit="1" customWidth="1"/>
    <col min="7" max="7" width="13.28515625" bestFit="1" customWidth="1"/>
    <col min="8" max="8" width="14.85546875" bestFit="1" customWidth="1"/>
    <col min="9" max="9" width="13.42578125" bestFit="1" customWidth="1"/>
    <col min="11" max="11" width="11.5703125" bestFit="1" customWidth="1"/>
    <col min="12" max="12" width="10.140625" bestFit="1" customWidth="1"/>
    <col min="14" max="14" width="10.140625" bestFit="1" customWidth="1"/>
    <col min="15" max="15" width="10.7109375" bestFit="1" customWidth="1"/>
  </cols>
  <sheetData>
    <row r="1" spans="1:15" x14ac:dyDescent="0.25">
      <c r="A1" s="5" t="s">
        <v>226</v>
      </c>
      <c r="B1" s="5" t="s">
        <v>220</v>
      </c>
      <c r="C1" s="5" t="s">
        <v>221</v>
      </c>
      <c r="D1" s="5" t="s">
        <v>222</v>
      </c>
      <c r="E1" s="5" t="s">
        <v>223</v>
      </c>
      <c r="F1" s="5" t="s">
        <v>224</v>
      </c>
      <c r="G1" s="5" t="s">
        <v>227</v>
      </c>
      <c r="H1" s="5" t="s">
        <v>225</v>
      </c>
      <c r="I1" s="5" t="s">
        <v>228</v>
      </c>
      <c r="K1" s="3"/>
      <c r="N1" s="4"/>
    </row>
    <row r="2" spans="1:15" x14ac:dyDescent="0.25">
      <c r="A2" s="6" t="s">
        <v>100</v>
      </c>
      <c r="B2" s="7">
        <v>46023</v>
      </c>
      <c r="C2" s="6" t="s">
        <v>101</v>
      </c>
      <c r="D2" s="6" t="s">
        <v>102</v>
      </c>
      <c r="E2" s="6" t="s">
        <v>103</v>
      </c>
      <c r="F2" s="6" t="s">
        <v>104</v>
      </c>
      <c r="G2" s="8">
        <v>2</v>
      </c>
      <c r="H2" s="9">
        <v>45000</v>
      </c>
      <c r="I2" s="11">
        <f>G2*H2</f>
        <v>90000</v>
      </c>
      <c r="K2" s="3"/>
      <c r="N2" s="4"/>
      <c r="O2" s="2"/>
    </row>
    <row r="3" spans="1:15" x14ac:dyDescent="0.25">
      <c r="A3" s="6" t="s">
        <v>105</v>
      </c>
      <c r="B3" s="7">
        <v>46023</v>
      </c>
      <c r="C3" s="6" t="s">
        <v>106</v>
      </c>
      <c r="D3" s="6" t="s">
        <v>107</v>
      </c>
      <c r="E3" s="6" t="s">
        <v>108</v>
      </c>
      <c r="F3" s="6" t="s">
        <v>216</v>
      </c>
      <c r="G3" s="8">
        <v>1</v>
      </c>
      <c r="H3" s="9">
        <v>28000</v>
      </c>
      <c r="I3" s="11">
        <f t="shared" ref="I3:I66" si="0">G3*H3</f>
        <v>28000</v>
      </c>
      <c r="K3" s="3"/>
      <c r="N3" s="4"/>
      <c r="O3" s="2"/>
    </row>
    <row r="4" spans="1:15" x14ac:dyDescent="0.25">
      <c r="A4" s="6" t="s">
        <v>109</v>
      </c>
      <c r="B4" s="7">
        <v>46024</v>
      </c>
      <c r="C4" s="6" t="s">
        <v>110</v>
      </c>
      <c r="D4" s="6" t="s">
        <v>111</v>
      </c>
      <c r="E4" s="6" t="s">
        <v>103</v>
      </c>
      <c r="F4" s="6" t="s">
        <v>217</v>
      </c>
      <c r="G4" s="8">
        <v>1</v>
      </c>
      <c r="H4" s="9">
        <v>52000</v>
      </c>
      <c r="I4" s="11">
        <f t="shared" si="0"/>
        <v>52000</v>
      </c>
      <c r="K4" s="3"/>
      <c r="N4" s="4"/>
      <c r="O4" s="2"/>
    </row>
    <row r="5" spans="1:15" x14ac:dyDescent="0.25">
      <c r="A5" s="6" t="s">
        <v>112</v>
      </c>
      <c r="B5" s="7">
        <v>46024</v>
      </c>
      <c r="C5" s="6" t="s">
        <v>101</v>
      </c>
      <c r="D5" s="6" t="s">
        <v>113</v>
      </c>
      <c r="E5" s="6" t="s">
        <v>108</v>
      </c>
      <c r="F5" s="6" t="s">
        <v>218</v>
      </c>
      <c r="G5" s="8">
        <v>3</v>
      </c>
      <c r="H5" s="9">
        <v>18000</v>
      </c>
      <c r="I5" s="11">
        <f t="shared" si="0"/>
        <v>54000</v>
      </c>
      <c r="K5" s="3"/>
      <c r="N5" s="4"/>
      <c r="O5" s="2"/>
    </row>
    <row r="6" spans="1:15" x14ac:dyDescent="0.25">
      <c r="A6" s="6" t="s">
        <v>114</v>
      </c>
      <c r="B6" s="7">
        <v>46025</v>
      </c>
      <c r="C6" s="6" t="s">
        <v>115</v>
      </c>
      <c r="D6" s="6" t="s">
        <v>116</v>
      </c>
      <c r="E6" s="6" t="s">
        <v>117</v>
      </c>
      <c r="F6" s="6" t="s">
        <v>219</v>
      </c>
      <c r="G6" s="8">
        <v>2</v>
      </c>
      <c r="H6" s="9">
        <v>22000</v>
      </c>
      <c r="I6" s="11">
        <f t="shared" si="0"/>
        <v>44000</v>
      </c>
      <c r="K6" s="3"/>
      <c r="N6" s="4"/>
      <c r="O6" s="2"/>
    </row>
    <row r="7" spans="1:15" x14ac:dyDescent="0.25">
      <c r="A7" s="6" t="s">
        <v>118</v>
      </c>
      <c r="B7" s="7">
        <v>46025</v>
      </c>
      <c r="C7" s="6" t="s">
        <v>106</v>
      </c>
      <c r="D7" s="6" t="s">
        <v>119</v>
      </c>
      <c r="E7" s="6" t="s">
        <v>103</v>
      </c>
      <c r="F7" s="6" t="s">
        <v>104</v>
      </c>
      <c r="G7" s="8">
        <v>1</v>
      </c>
      <c r="H7" s="9">
        <v>45000</v>
      </c>
      <c r="I7" s="11">
        <f t="shared" si="0"/>
        <v>45000</v>
      </c>
      <c r="K7" s="3"/>
      <c r="N7" s="4"/>
      <c r="O7" s="2"/>
    </row>
    <row r="8" spans="1:15" x14ac:dyDescent="0.25">
      <c r="A8" s="6" t="s">
        <v>120</v>
      </c>
      <c r="B8" s="7">
        <v>46026</v>
      </c>
      <c r="C8" s="6" t="s">
        <v>110</v>
      </c>
      <c r="D8" s="6" t="s">
        <v>102</v>
      </c>
      <c r="E8" s="6" t="s">
        <v>108</v>
      </c>
      <c r="F8" s="6" t="s">
        <v>216</v>
      </c>
      <c r="G8" s="8">
        <v>2</v>
      </c>
      <c r="H8" s="9">
        <v>28000</v>
      </c>
      <c r="I8" s="11">
        <f t="shared" si="0"/>
        <v>56000</v>
      </c>
      <c r="K8" s="3"/>
      <c r="N8" s="4"/>
      <c r="O8" s="2"/>
    </row>
    <row r="9" spans="1:15" x14ac:dyDescent="0.25">
      <c r="A9" s="6" t="s">
        <v>121</v>
      </c>
      <c r="B9" s="7">
        <v>46026</v>
      </c>
      <c r="C9" s="6" t="s">
        <v>101</v>
      </c>
      <c r="D9" s="6" t="s">
        <v>122</v>
      </c>
      <c r="E9" s="6" t="s">
        <v>117</v>
      </c>
      <c r="F9" s="6" t="s">
        <v>219</v>
      </c>
      <c r="G9" s="8">
        <v>1</v>
      </c>
      <c r="H9" s="9">
        <v>22000</v>
      </c>
      <c r="I9" s="11">
        <f t="shared" si="0"/>
        <v>22000</v>
      </c>
      <c r="O9" s="2"/>
    </row>
    <row r="10" spans="1:15" x14ac:dyDescent="0.25">
      <c r="A10" s="6" t="s">
        <v>123</v>
      </c>
      <c r="B10" s="7">
        <v>46027</v>
      </c>
      <c r="C10" s="6" t="s">
        <v>115</v>
      </c>
      <c r="D10" s="6" t="s">
        <v>124</v>
      </c>
      <c r="E10" s="6" t="s">
        <v>108</v>
      </c>
      <c r="F10" s="6" t="s">
        <v>218</v>
      </c>
      <c r="G10" s="8">
        <v>2</v>
      </c>
      <c r="H10" s="9">
        <v>18000</v>
      </c>
      <c r="I10" s="11">
        <f t="shared" si="0"/>
        <v>36000</v>
      </c>
      <c r="O10" s="2"/>
    </row>
    <row r="11" spans="1:15" x14ac:dyDescent="0.25">
      <c r="A11" s="6" t="s">
        <v>125</v>
      </c>
      <c r="B11" s="7">
        <v>46027</v>
      </c>
      <c r="C11" s="6" t="s">
        <v>106</v>
      </c>
      <c r="D11" s="6" t="s">
        <v>111</v>
      </c>
      <c r="E11" s="6" t="s">
        <v>103</v>
      </c>
      <c r="F11" s="6" t="s">
        <v>217</v>
      </c>
      <c r="G11" s="8">
        <v>1</v>
      </c>
      <c r="H11" s="9">
        <v>52000</v>
      </c>
      <c r="I11" s="11">
        <f t="shared" si="0"/>
        <v>52000</v>
      </c>
      <c r="O11" s="2"/>
    </row>
    <row r="12" spans="1:15" x14ac:dyDescent="0.25">
      <c r="A12" s="6" t="s">
        <v>126</v>
      </c>
      <c r="B12" s="7">
        <v>46028</v>
      </c>
      <c r="C12" s="6" t="s">
        <v>110</v>
      </c>
      <c r="D12" s="6" t="s">
        <v>113</v>
      </c>
      <c r="E12" s="6" t="s">
        <v>117</v>
      </c>
      <c r="F12" s="6" t="s">
        <v>219</v>
      </c>
      <c r="G12" s="8">
        <v>3</v>
      </c>
      <c r="H12" s="9">
        <v>22000</v>
      </c>
      <c r="I12" s="11">
        <f t="shared" si="0"/>
        <v>66000</v>
      </c>
      <c r="O12" s="2"/>
    </row>
    <row r="13" spans="1:15" x14ac:dyDescent="0.25">
      <c r="A13" s="6" t="s">
        <v>127</v>
      </c>
      <c r="B13" s="7">
        <v>46028</v>
      </c>
      <c r="C13" s="6" t="s">
        <v>101</v>
      </c>
      <c r="D13" s="6" t="s">
        <v>107</v>
      </c>
      <c r="E13" s="6" t="s">
        <v>103</v>
      </c>
      <c r="F13" s="6" t="s">
        <v>104</v>
      </c>
      <c r="G13" s="8">
        <v>2</v>
      </c>
      <c r="H13" s="9">
        <v>45000</v>
      </c>
      <c r="I13" s="11">
        <f t="shared" si="0"/>
        <v>90000</v>
      </c>
      <c r="O13" s="2"/>
    </row>
    <row r="14" spans="1:15" x14ac:dyDescent="0.25">
      <c r="A14" s="6" t="s">
        <v>128</v>
      </c>
      <c r="B14" s="7">
        <v>46029</v>
      </c>
      <c r="C14" s="6" t="s">
        <v>106</v>
      </c>
      <c r="D14" s="6" t="s">
        <v>122</v>
      </c>
      <c r="E14" s="6" t="s">
        <v>108</v>
      </c>
      <c r="F14" s="6" t="s">
        <v>216</v>
      </c>
      <c r="G14" s="8">
        <v>1</v>
      </c>
      <c r="H14" s="9">
        <v>28000</v>
      </c>
      <c r="I14" s="11">
        <f t="shared" si="0"/>
        <v>28000</v>
      </c>
      <c r="O14" s="2"/>
    </row>
    <row r="15" spans="1:15" x14ac:dyDescent="0.25">
      <c r="A15" s="6" t="s">
        <v>129</v>
      </c>
      <c r="B15" s="7">
        <v>46029</v>
      </c>
      <c r="C15" s="6" t="s">
        <v>115</v>
      </c>
      <c r="D15" s="6" t="s">
        <v>116</v>
      </c>
      <c r="E15" s="6" t="s">
        <v>103</v>
      </c>
      <c r="F15" s="6" t="s">
        <v>217</v>
      </c>
      <c r="G15" s="8">
        <v>2</v>
      </c>
      <c r="H15" s="9">
        <v>52000</v>
      </c>
      <c r="I15" s="11">
        <f t="shared" si="0"/>
        <v>104000</v>
      </c>
      <c r="O15" s="2"/>
    </row>
    <row r="16" spans="1:15" x14ac:dyDescent="0.25">
      <c r="A16" s="6" t="s">
        <v>130</v>
      </c>
      <c r="B16" s="7">
        <v>46030</v>
      </c>
      <c r="C16" s="6" t="s">
        <v>110</v>
      </c>
      <c r="D16" s="6" t="s">
        <v>124</v>
      </c>
      <c r="E16" s="6" t="s">
        <v>108</v>
      </c>
      <c r="F16" s="6" t="s">
        <v>218</v>
      </c>
      <c r="G16" s="8">
        <v>1</v>
      </c>
      <c r="H16" s="9">
        <v>18000</v>
      </c>
      <c r="I16" s="11">
        <f t="shared" si="0"/>
        <v>18000</v>
      </c>
      <c r="O16" s="2"/>
    </row>
    <row r="17" spans="1:15" x14ac:dyDescent="0.25">
      <c r="A17" s="6" t="s">
        <v>131</v>
      </c>
      <c r="B17" s="7">
        <v>46030</v>
      </c>
      <c r="C17" s="6" t="s">
        <v>101</v>
      </c>
      <c r="D17" s="6" t="s">
        <v>102</v>
      </c>
      <c r="E17" s="6" t="s">
        <v>117</v>
      </c>
      <c r="F17" s="6" t="s">
        <v>219</v>
      </c>
      <c r="G17" s="8">
        <v>2</v>
      </c>
      <c r="H17" s="9">
        <v>22000</v>
      </c>
      <c r="I17" s="11">
        <f t="shared" si="0"/>
        <v>44000</v>
      </c>
      <c r="O17" s="2"/>
    </row>
    <row r="18" spans="1:15" x14ac:dyDescent="0.25">
      <c r="A18" s="6" t="s">
        <v>132</v>
      </c>
      <c r="B18" s="7">
        <v>46031</v>
      </c>
      <c r="C18" s="6" t="s">
        <v>106</v>
      </c>
      <c r="D18" s="6" t="s">
        <v>107</v>
      </c>
      <c r="E18" s="6" t="s">
        <v>103</v>
      </c>
      <c r="F18" s="6" t="s">
        <v>104</v>
      </c>
      <c r="G18" s="8">
        <v>1</v>
      </c>
      <c r="H18" s="9">
        <v>45000</v>
      </c>
      <c r="I18" s="11">
        <f t="shared" si="0"/>
        <v>45000</v>
      </c>
      <c r="O18" s="2"/>
    </row>
    <row r="19" spans="1:15" x14ac:dyDescent="0.25">
      <c r="A19" s="6" t="s">
        <v>133</v>
      </c>
      <c r="B19" s="7">
        <v>46031</v>
      </c>
      <c r="C19" s="6" t="s">
        <v>115</v>
      </c>
      <c r="D19" s="6" t="s">
        <v>111</v>
      </c>
      <c r="E19" s="6" t="s">
        <v>108</v>
      </c>
      <c r="F19" s="6" t="s">
        <v>216</v>
      </c>
      <c r="G19" s="8">
        <v>2</v>
      </c>
      <c r="H19" s="9">
        <v>28000</v>
      </c>
      <c r="I19" s="11">
        <f t="shared" si="0"/>
        <v>56000</v>
      </c>
      <c r="O19" s="2"/>
    </row>
    <row r="20" spans="1:15" x14ac:dyDescent="0.25">
      <c r="A20" s="6" t="s">
        <v>134</v>
      </c>
      <c r="B20" s="7">
        <v>46032</v>
      </c>
      <c r="C20" s="6" t="s">
        <v>110</v>
      </c>
      <c r="D20" s="6" t="s">
        <v>122</v>
      </c>
      <c r="E20" s="6" t="s">
        <v>103</v>
      </c>
      <c r="F20" s="6" t="s">
        <v>217</v>
      </c>
      <c r="G20" s="8">
        <v>1</v>
      </c>
      <c r="H20" s="9">
        <v>52000</v>
      </c>
      <c r="I20" s="11">
        <f t="shared" si="0"/>
        <v>52000</v>
      </c>
      <c r="O20" s="2"/>
    </row>
    <row r="21" spans="1:15" x14ac:dyDescent="0.25">
      <c r="A21" s="6" t="s">
        <v>135</v>
      </c>
      <c r="B21" s="7">
        <v>46032</v>
      </c>
      <c r="C21" s="6" t="s">
        <v>101</v>
      </c>
      <c r="D21" s="6" t="s">
        <v>113</v>
      </c>
      <c r="E21" s="6" t="s">
        <v>108</v>
      </c>
      <c r="F21" s="6" t="s">
        <v>218</v>
      </c>
      <c r="G21" s="8">
        <v>2</v>
      </c>
      <c r="H21" s="9">
        <v>18000</v>
      </c>
      <c r="I21" s="11">
        <f t="shared" si="0"/>
        <v>36000</v>
      </c>
      <c r="O21" s="2"/>
    </row>
    <row r="22" spans="1:15" x14ac:dyDescent="0.25">
      <c r="A22" s="6" t="s">
        <v>136</v>
      </c>
      <c r="B22" s="7">
        <v>46033</v>
      </c>
      <c r="C22" s="6" t="s">
        <v>101</v>
      </c>
      <c r="D22" s="6" t="s">
        <v>102</v>
      </c>
      <c r="E22" s="6" t="s">
        <v>103</v>
      </c>
      <c r="F22" s="6" t="s">
        <v>104</v>
      </c>
      <c r="G22" s="8">
        <v>1</v>
      </c>
      <c r="H22" s="9">
        <v>45000</v>
      </c>
      <c r="I22" s="11">
        <f t="shared" si="0"/>
        <v>45000</v>
      </c>
      <c r="O22" s="2"/>
    </row>
    <row r="23" spans="1:15" x14ac:dyDescent="0.25">
      <c r="A23" s="6" t="s">
        <v>137</v>
      </c>
      <c r="B23" s="7">
        <v>46033</v>
      </c>
      <c r="C23" s="6" t="s">
        <v>106</v>
      </c>
      <c r="D23" s="6" t="s">
        <v>119</v>
      </c>
      <c r="E23" s="6" t="s">
        <v>108</v>
      </c>
      <c r="F23" s="6" t="s">
        <v>216</v>
      </c>
      <c r="G23" s="8">
        <v>2</v>
      </c>
      <c r="H23" s="9">
        <v>28000</v>
      </c>
      <c r="I23" s="11">
        <f t="shared" si="0"/>
        <v>56000</v>
      </c>
      <c r="O23" s="2"/>
    </row>
    <row r="24" spans="1:15" x14ac:dyDescent="0.25">
      <c r="A24" s="6" t="s">
        <v>138</v>
      </c>
      <c r="B24" s="7">
        <v>46034</v>
      </c>
      <c r="C24" s="6" t="s">
        <v>110</v>
      </c>
      <c r="D24" s="6" t="s">
        <v>124</v>
      </c>
      <c r="E24" s="6" t="s">
        <v>117</v>
      </c>
      <c r="F24" s="6" t="s">
        <v>219</v>
      </c>
      <c r="G24" s="8">
        <v>1</v>
      </c>
      <c r="H24" s="9">
        <v>22000</v>
      </c>
      <c r="I24" s="11">
        <f t="shared" si="0"/>
        <v>22000</v>
      </c>
      <c r="O24" s="2"/>
    </row>
    <row r="25" spans="1:15" x14ac:dyDescent="0.25">
      <c r="A25" s="6" t="s">
        <v>139</v>
      </c>
      <c r="B25" s="7">
        <v>46034</v>
      </c>
      <c r="C25" s="6" t="s">
        <v>115</v>
      </c>
      <c r="D25" s="6" t="s">
        <v>116</v>
      </c>
      <c r="E25" s="6" t="s">
        <v>108</v>
      </c>
      <c r="F25" s="6" t="s">
        <v>218</v>
      </c>
      <c r="G25" s="8">
        <v>3</v>
      </c>
      <c r="H25" s="9">
        <v>18000</v>
      </c>
      <c r="I25" s="11">
        <f t="shared" si="0"/>
        <v>54000</v>
      </c>
      <c r="O25" s="2"/>
    </row>
    <row r="26" spans="1:15" x14ac:dyDescent="0.25">
      <c r="A26" s="6" t="s">
        <v>140</v>
      </c>
      <c r="B26" s="7">
        <v>46035</v>
      </c>
      <c r="C26" s="6" t="s">
        <v>101</v>
      </c>
      <c r="D26" s="6" t="s">
        <v>122</v>
      </c>
      <c r="E26" s="6" t="s">
        <v>103</v>
      </c>
      <c r="F26" s="6" t="s">
        <v>217</v>
      </c>
      <c r="G26" s="8">
        <v>2</v>
      </c>
      <c r="H26" s="9">
        <v>52000</v>
      </c>
      <c r="I26" s="11">
        <f t="shared" si="0"/>
        <v>104000</v>
      </c>
      <c r="O26" s="2"/>
    </row>
    <row r="27" spans="1:15" x14ac:dyDescent="0.25">
      <c r="A27" s="6" t="s">
        <v>141</v>
      </c>
      <c r="B27" s="7">
        <v>46035</v>
      </c>
      <c r="C27" s="6" t="s">
        <v>106</v>
      </c>
      <c r="D27" s="6" t="s">
        <v>107</v>
      </c>
      <c r="E27" s="6" t="s">
        <v>117</v>
      </c>
      <c r="F27" s="6" t="s">
        <v>219</v>
      </c>
      <c r="G27" s="8">
        <v>2</v>
      </c>
      <c r="H27" s="9">
        <v>22000</v>
      </c>
      <c r="I27" s="11">
        <f t="shared" si="0"/>
        <v>44000</v>
      </c>
      <c r="O27" s="2"/>
    </row>
    <row r="28" spans="1:15" x14ac:dyDescent="0.25">
      <c r="A28" s="6" t="s">
        <v>142</v>
      </c>
      <c r="B28" s="7">
        <v>46036</v>
      </c>
      <c r="C28" s="6" t="s">
        <v>110</v>
      </c>
      <c r="D28" s="6" t="s">
        <v>111</v>
      </c>
      <c r="E28" s="6" t="s">
        <v>108</v>
      </c>
      <c r="F28" s="6" t="s">
        <v>216</v>
      </c>
      <c r="G28" s="8">
        <v>1</v>
      </c>
      <c r="H28" s="9">
        <v>28000</v>
      </c>
      <c r="I28" s="11">
        <f t="shared" si="0"/>
        <v>28000</v>
      </c>
      <c r="O28" s="2"/>
    </row>
    <row r="29" spans="1:15" x14ac:dyDescent="0.25">
      <c r="A29" s="6" t="s">
        <v>143</v>
      </c>
      <c r="B29" s="7">
        <v>46036</v>
      </c>
      <c r="C29" s="6" t="s">
        <v>115</v>
      </c>
      <c r="D29" s="6" t="s">
        <v>113</v>
      </c>
      <c r="E29" s="6" t="s">
        <v>103</v>
      </c>
      <c r="F29" s="6" t="s">
        <v>104</v>
      </c>
      <c r="G29" s="8">
        <v>1</v>
      </c>
      <c r="H29" s="9">
        <v>45000</v>
      </c>
      <c r="I29" s="11">
        <f t="shared" si="0"/>
        <v>45000</v>
      </c>
      <c r="O29" s="2"/>
    </row>
    <row r="30" spans="1:15" x14ac:dyDescent="0.25">
      <c r="A30" s="6" t="s">
        <v>144</v>
      </c>
      <c r="B30" s="7">
        <v>46037</v>
      </c>
      <c r="C30" s="6" t="s">
        <v>101</v>
      </c>
      <c r="D30" s="6" t="s">
        <v>102</v>
      </c>
      <c r="E30" s="6" t="s">
        <v>108</v>
      </c>
      <c r="F30" s="6" t="s">
        <v>218</v>
      </c>
      <c r="G30" s="8">
        <v>2</v>
      </c>
      <c r="H30" s="9">
        <v>18000</v>
      </c>
      <c r="I30" s="11">
        <f t="shared" si="0"/>
        <v>36000</v>
      </c>
      <c r="O30" s="2"/>
    </row>
    <row r="31" spans="1:15" x14ac:dyDescent="0.25">
      <c r="A31" s="6" t="s">
        <v>145</v>
      </c>
      <c r="B31" s="7">
        <v>46037</v>
      </c>
      <c r="C31" s="6" t="s">
        <v>106</v>
      </c>
      <c r="D31" s="6" t="s">
        <v>122</v>
      </c>
      <c r="E31" s="6" t="s">
        <v>117</v>
      </c>
      <c r="F31" s="6" t="s">
        <v>219</v>
      </c>
      <c r="G31" s="8">
        <v>1</v>
      </c>
      <c r="H31" s="9">
        <v>22000</v>
      </c>
      <c r="I31" s="11">
        <f t="shared" si="0"/>
        <v>22000</v>
      </c>
      <c r="O31" s="2"/>
    </row>
    <row r="32" spans="1:15" x14ac:dyDescent="0.25">
      <c r="A32" s="6" t="s">
        <v>146</v>
      </c>
      <c r="B32" s="7">
        <v>46038</v>
      </c>
      <c r="C32" s="6" t="s">
        <v>110</v>
      </c>
      <c r="D32" s="6" t="s">
        <v>107</v>
      </c>
      <c r="E32" s="6" t="s">
        <v>103</v>
      </c>
      <c r="F32" s="6" t="s">
        <v>217</v>
      </c>
      <c r="G32" s="8">
        <v>1</v>
      </c>
      <c r="H32" s="9">
        <v>52000</v>
      </c>
      <c r="I32" s="11">
        <f t="shared" si="0"/>
        <v>52000</v>
      </c>
      <c r="O32" s="2"/>
    </row>
    <row r="33" spans="1:15" x14ac:dyDescent="0.25">
      <c r="A33" s="6" t="s">
        <v>147</v>
      </c>
      <c r="B33" s="7">
        <v>46038</v>
      </c>
      <c r="C33" s="6" t="s">
        <v>115</v>
      </c>
      <c r="D33" s="6" t="s">
        <v>124</v>
      </c>
      <c r="E33" s="6" t="s">
        <v>108</v>
      </c>
      <c r="F33" s="6" t="s">
        <v>216</v>
      </c>
      <c r="G33" s="8">
        <v>2</v>
      </c>
      <c r="H33" s="9">
        <v>28000</v>
      </c>
      <c r="I33" s="11">
        <f t="shared" si="0"/>
        <v>56000</v>
      </c>
      <c r="O33" s="2"/>
    </row>
    <row r="34" spans="1:15" x14ac:dyDescent="0.25">
      <c r="A34" s="6" t="s">
        <v>148</v>
      </c>
      <c r="B34" s="7">
        <v>46039</v>
      </c>
      <c r="C34" s="6" t="s">
        <v>101</v>
      </c>
      <c r="D34" s="6" t="s">
        <v>116</v>
      </c>
      <c r="E34" s="6" t="s">
        <v>117</v>
      </c>
      <c r="F34" s="6" t="s">
        <v>219</v>
      </c>
      <c r="G34" s="8">
        <v>1</v>
      </c>
      <c r="H34" s="9">
        <v>22000</v>
      </c>
      <c r="I34" s="11">
        <f t="shared" si="0"/>
        <v>22000</v>
      </c>
      <c r="O34" s="2"/>
    </row>
    <row r="35" spans="1:15" x14ac:dyDescent="0.25">
      <c r="A35" s="6" t="s">
        <v>149</v>
      </c>
      <c r="B35" s="7">
        <v>46039</v>
      </c>
      <c r="C35" s="6" t="s">
        <v>106</v>
      </c>
      <c r="D35" s="6" t="s">
        <v>111</v>
      </c>
      <c r="E35" s="6" t="s">
        <v>103</v>
      </c>
      <c r="F35" s="6" t="s">
        <v>104</v>
      </c>
      <c r="G35" s="8">
        <v>2</v>
      </c>
      <c r="H35" s="9">
        <v>45000</v>
      </c>
      <c r="I35" s="11">
        <f t="shared" si="0"/>
        <v>90000</v>
      </c>
      <c r="O35" s="2"/>
    </row>
    <row r="36" spans="1:15" x14ac:dyDescent="0.25">
      <c r="A36" s="6" t="s">
        <v>150</v>
      </c>
      <c r="B36" s="7">
        <v>46040</v>
      </c>
      <c r="C36" s="6" t="s">
        <v>110</v>
      </c>
      <c r="D36" s="6" t="s">
        <v>113</v>
      </c>
      <c r="E36" s="6" t="s">
        <v>108</v>
      </c>
      <c r="F36" s="6" t="s">
        <v>216</v>
      </c>
      <c r="G36" s="8">
        <v>1</v>
      </c>
      <c r="H36" s="9">
        <v>28000</v>
      </c>
      <c r="I36" s="11">
        <f t="shared" si="0"/>
        <v>28000</v>
      </c>
      <c r="O36" s="2"/>
    </row>
    <row r="37" spans="1:15" x14ac:dyDescent="0.25">
      <c r="A37" s="6" t="s">
        <v>151</v>
      </c>
      <c r="B37" s="7">
        <v>46040</v>
      </c>
      <c r="C37" s="6" t="s">
        <v>115</v>
      </c>
      <c r="D37" s="6" t="s">
        <v>122</v>
      </c>
      <c r="E37" s="6" t="s">
        <v>103</v>
      </c>
      <c r="F37" s="6" t="s">
        <v>217</v>
      </c>
      <c r="G37" s="8">
        <v>1</v>
      </c>
      <c r="H37" s="9">
        <v>52000</v>
      </c>
      <c r="I37" s="11">
        <f t="shared" si="0"/>
        <v>52000</v>
      </c>
      <c r="O37" s="2"/>
    </row>
    <row r="38" spans="1:15" x14ac:dyDescent="0.25">
      <c r="A38" s="6" t="s">
        <v>152</v>
      </c>
      <c r="B38" s="7">
        <v>46041</v>
      </c>
      <c r="C38" s="6" t="s">
        <v>101</v>
      </c>
      <c r="D38" s="6" t="s">
        <v>119</v>
      </c>
      <c r="E38" s="6" t="s">
        <v>108</v>
      </c>
      <c r="F38" s="6" t="s">
        <v>218</v>
      </c>
      <c r="G38" s="8">
        <v>3</v>
      </c>
      <c r="H38" s="9">
        <v>18000</v>
      </c>
      <c r="I38" s="11">
        <f t="shared" si="0"/>
        <v>54000</v>
      </c>
      <c r="O38" s="2"/>
    </row>
    <row r="39" spans="1:15" x14ac:dyDescent="0.25">
      <c r="A39" s="6" t="s">
        <v>153</v>
      </c>
      <c r="B39" s="7">
        <v>46041</v>
      </c>
      <c r="C39" s="6" t="s">
        <v>106</v>
      </c>
      <c r="D39" s="6" t="s">
        <v>102</v>
      </c>
      <c r="E39" s="6" t="s">
        <v>117</v>
      </c>
      <c r="F39" s="6" t="s">
        <v>219</v>
      </c>
      <c r="G39" s="8">
        <v>2</v>
      </c>
      <c r="H39" s="9">
        <v>22000</v>
      </c>
      <c r="I39" s="11">
        <f t="shared" si="0"/>
        <v>44000</v>
      </c>
      <c r="O39" s="2"/>
    </row>
    <row r="40" spans="1:15" x14ac:dyDescent="0.25">
      <c r="A40" s="6" t="s">
        <v>154</v>
      </c>
      <c r="B40" s="7">
        <v>46042</v>
      </c>
      <c r="C40" s="6" t="s">
        <v>110</v>
      </c>
      <c r="D40" s="6" t="s">
        <v>116</v>
      </c>
      <c r="E40" s="6" t="s">
        <v>103</v>
      </c>
      <c r="F40" s="6" t="s">
        <v>104</v>
      </c>
      <c r="G40" s="8">
        <v>1</v>
      </c>
      <c r="H40" s="9">
        <v>45000</v>
      </c>
      <c r="I40" s="11">
        <f t="shared" si="0"/>
        <v>45000</v>
      </c>
      <c r="O40" s="2"/>
    </row>
    <row r="41" spans="1:15" x14ac:dyDescent="0.25">
      <c r="A41" s="6" t="s">
        <v>155</v>
      </c>
      <c r="B41" s="7">
        <v>46042</v>
      </c>
      <c r="C41" s="6" t="s">
        <v>115</v>
      </c>
      <c r="D41" s="6" t="s">
        <v>107</v>
      </c>
      <c r="E41" s="6" t="s">
        <v>108</v>
      </c>
      <c r="F41" s="6" t="s">
        <v>216</v>
      </c>
      <c r="G41" s="8">
        <v>1</v>
      </c>
      <c r="H41" s="9">
        <v>28000</v>
      </c>
      <c r="I41" s="11">
        <f t="shared" si="0"/>
        <v>28000</v>
      </c>
      <c r="O41" s="2"/>
    </row>
    <row r="42" spans="1:15" x14ac:dyDescent="0.25">
      <c r="A42" s="6" t="s">
        <v>156</v>
      </c>
      <c r="B42" s="7">
        <v>46043</v>
      </c>
      <c r="C42" s="6" t="s">
        <v>101</v>
      </c>
      <c r="D42" s="6" t="s">
        <v>111</v>
      </c>
      <c r="E42" s="6" t="s">
        <v>117</v>
      </c>
      <c r="F42" s="6" t="s">
        <v>219</v>
      </c>
      <c r="G42" s="8">
        <v>2</v>
      </c>
      <c r="H42" s="9">
        <v>22000</v>
      </c>
      <c r="I42" s="11">
        <f t="shared" si="0"/>
        <v>44000</v>
      </c>
      <c r="O42" s="2"/>
    </row>
    <row r="43" spans="1:15" x14ac:dyDescent="0.25">
      <c r="A43" s="6" t="s">
        <v>157</v>
      </c>
      <c r="B43" s="7">
        <v>46043</v>
      </c>
      <c r="C43" s="6" t="s">
        <v>106</v>
      </c>
      <c r="D43" s="6" t="s">
        <v>113</v>
      </c>
      <c r="E43" s="6" t="s">
        <v>103</v>
      </c>
      <c r="F43" s="6" t="s">
        <v>217</v>
      </c>
      <c r="G43" s="8">
        <v>1</v>
      </c>
      <c r="H43" s="9">
        <v>52000</v>
      </c>
      <c r="I43" s="11">
        <f t="shared" si="0"/>
        <v>52000</v>
      </c>
      <c r="O43" s="2"/>
    </row>
    <row r="44" spans="1:15" x14ac:dyDescent="0.25">
      <c r="A44" s="6" t="s">
        <v>158</v>
      </c>
      <c r="B44" s="7">
        <v>46044</v>
      </c>
      <c r="C44" s="6" t="s">
        <v>110</v>
      </c>
      <c r="D44" s="6" t="s">
        <v>102</v>
      </c>
      <c r="E44" s="6" t="s">
        <v>108</v>
      </c>
      <c r="F44" s="6" t="s">
        <v>216</v>
      </c>
      <c r="G44" s="8">
        <v>2</v>
      </c>
      <c r="H44" s="9">
        <v>28000</v>
      </c>
      <c r="I44" s="11">
        <f t="shared" si="0"/>
        <v>56000</v>
      </c>
      <c r="O44" s="2"/>
    </row>
    <row r="45" spans="1:15" x14ac:dyDescent="0.25">
      <c r="A45" s="6" t="s">
        <v>159</v>
      </c>
      <c r="B45" s="7">
        <v>46044</v>
      </c>
      <c r="C45" s="6" t="s">
        <v>115</v>
      </c>
      <c r="D45" s="6" t="s">
        <v>122</v>
      </c>
      <c r="E45" s="6" t="s">
        <v>108</v>
      </c>
      <c r="F45" s="6" t="s">
        <v>218</v>
      </c>
      <c r="G45" s="8">
        <v>1</v>
      </c>
      <c r="H45" s="9">
        <v>18000</v>
      </c>
      <c r="I45" s="11">
        <f t="shared" si="0"/>
        <v>18000</v>
      </c>
      <c r="O45" s="2"/>
    </row>
    <row r="46" spans="1:15" x14ac:dyDescent="0.25">
      <c r="A46" s="6" t="s">
        <v>160</v>
      </c>
      <c r="B46" s="7">
        <v>46045</v>
      </c>
      <c r="C46" s="6" t="s">
        <v>101</v>
      </c>
      <c r="D46" s="6" t="s">
        <v>124</v>
      </c>
      <c r="E46" s="6" t="s">
        <v>103</v>
      </c>
      <c r="F46" s="6" t="s">
        <v>104</v>
      </c>
      <c r="G46" s="8">
        <v>2</v>
      </c>
      <c r="H46" s="9">
        <v>45000</v>
      </c>
      <c r="I46" s="11">
        <f t="shared" si="0"/>
        <v>90000</v>
      </c>
      <c r="O46" s="2"/>
    </row>
    <row r="47" spans="1:15" x14ac:dyDescent="0.25">
      <c r="A47" s="6" t="s">
        <v>161</v>
      </c>
      <c r="B47" s="7">
        <v>46045</v>
      </c>
      <c r="C47" s="6" t="s">
        <v>106</v>
      </c>
      <c r="D47" s="6" t="s">
        <v>116</v>
      </c>
      <c r="E47" s="6" t="s">
        <v>117</v>
      </c>
      <c r="F47" s="6" t="s">
        <v>219</v>
      </c>
      <c r="G47" s="8">
        <v>1</v>
      </c>
      <c r="H47" s="9">
        <v>22000</v>
      </c>
      <c r="I47" s="11">
        <f t="shared" si="0"/>
        <v>22000</v>
      </c>
      <c r="O47" s="2"/>
    </row>
    <row r="48" spans="1:15" x14ac:dyDescent="0.25">
      <c r="A48" s="6" t="s">
        <v>162</v>
      </c>
      <c r="B48" s="7">
        <v>46046</v>
      </c>
      <c r="C48" s="6" t="s">
        <v>110</v>
      </c>
      <c r="D48" s="6" t="s">
        <v>107</v>
      </c>
      <c r="E48" s="6" t="s">
        <v>108</v>
      </c>
      <c r="F48" s="6" t="s">
        <v>216</v>
      </c>
      <c r="G48" s="8">
        <v>3</v>
      </c>
      <c r="H48" s="9">
        <v>28000</v>
      </c>
      <c r="I48" s="11">
        <f t="shared" si="0"/>
        <v>84000</v>
      </c>
      <c r="O48" s="2"/>
    </row>
    <row r="49" spans="1:15" x14ac:dyDescent="0.25">
      <c r="A49" s="6" t="s">
        <v>163</v>
      </c>
      <c r="B49" s="7">
        <v>46046</v>
      </c>
      <c r="C49" s="6" t="s">
        <v>115</v>
      </c>
      <c r="D49" s="6" t="s">
        <v>111</v>
      </c>
      <c r="E49" s="6" t="s">
        <v>103</v>
      </c>
      <c r="F49" s="6" t="s">
        <v>217</v>
      </c>
      <c r="G49" s="8">
        <v>2</v>
      </c>
      <c r="H49" s="9">
        <v>52000</v>
      </c>
      <c r="I49" s="11">
        <f t="shared" si="0"/>
        <v>104000</v>
      </c>
      <c r="O49" s="2"/>
    </row>
    <row r="50" spans="1:15" x14ac:dyDescent="0.25">
      <c r="A50" s="6" t="s">
        <v>164</v>
      </c>
      <c r="B50" s="7">
        <v>46047</v>
      </c>
      <c r="C50" s="6" t="s">
        <v>101</v>
      </c>
      <c r="D50" s="6" t="s">
        <v>113</v>
      </c>
      <c r="E50" s="6" t="s">
        <v>117</v>
      </c>
      <c r="F50" s="6" t="s">
        <v>219</v>
      </c>
      <c r="G50" s="8">
        <v>1</v>
      </c>
      <c r="H50" s="9">
        <v>22000</v>
      </c>
      <c r="I50" s="11">
        <f t="shared" si="0"/>
        <v>22000</v>
      </c>
      <c r="O50" s="2"/>
    </row>
    <row r="51" spans="1:15" x14ac:dyDescent="0.25">
      <c r="A51" s="6" t="s">
        <v>165</v>
      </c>
      <c r="B51" s="7">
        <v>46047</v>
      </c>
      <c r="C51" s="6" t="s">
        <v>106</v>
      </c>
      <c r="D51" s="6" t="s">
        <v>102</v>
      </c>
      <c r="E51" s="6" t="s">
        <v>103</v>
      </c>
      <c r="F51" s="6" t="s">
        <v>104</v>
      </c>
      <c r="G51" s="8">
        <v>1</v>
      </c>
      <c r="H51" s="9">
        <v>45000</v>
      </c>
      <c r="I51" s="11">
        <f t="shared" si="0"/>
        <v>45000</v>
      </c>
      <c r="O51" s="2"/>
    </row>
    <row r="52" spans="1:15" x14ac:dyDescent="0.25">
      <c r="A52" s="6" t="s">
        <v>166</v>
      </c>
      <c r="B52" s="7">
        <v>46048</v>
      </c>
      <c r="C52" s="6" t="s">
        <v>110</v>
      </c>
      <c r="D52" s="6" t="s">
        <v>122</v>
      </c>
      <c r="E52" s="6" t="s">
        <v>108</v>
      </c>
      <c r="F52" s="6" t="s">
        <v>216</v>
      </c>
      <c r="G52" s="8">
        <v>2</v>
      </c>
      <c r="H52" s="9">
        <v>28000</v>
      </c>
      <c r="I52" s="11">
        <f t="shared" si="0"/>
        <v>56000</v>
      </c>
      <c r="O52" s="2"/>
    </row>
    <row r="53" spans="1:15" x14ac:dyDescent="0.25">
      <c r="A53" s="6" t="s">
        <v>167</v>
      </c>
      <c r="B53" s="7">
        <v>46048</v>
      </c>
      <c r="C53" s="6" t="s">
        <v>115</v>
      </c>
      <c r="D53" s="6" t="s">
        <v>107</v>
      </c>
      <c r="E53" s="6" t="s">
        <v>103</v>
      </c>
      <c r="F53" s="6" t="s">
        <v>217</v>
      </c>
      <c r="G53" s="8">
        <v>1</v>
      </c>
      <c r="H53" s="9">
        <v>52000</v>
      </c>
      <c r="I53" s="11">
        <f t="shared" si="0"/>
        <v>52000</v>
      </c>
      <c r="O53" s="2"/>
    </row>
    <row r="54" spans="1:15" x14ac:dyDescent="0.25">
      <c r="A54" s="6" t="s">
        <v>168</v>
      </c>
      <c r="B54" s="7">
        <v>46049</v>
      </c>
      <c r="C54" s="6" t="s">
        <v>101</v>
      </c>
      <c r="D54" s="6" t="s">
        <v>124</v>
      </c>
      <c r="E54" s="6" t="s">
        <v>108</v>
      </c>
      <c r="F54" s="6" t="s">
        <v>218</v>
      </c>
      <c r="G54" s="8">
        <v>2</v>
      </c>
      <c r="H54" s="9">
        <v>18000</v>
      </c>
      <c r="I54" s="11">
        <f t="shared" si="0"/>
        <v>36000</v>
      </c>
      <c r="O54" s="2"/>
    </row>
    <row r="55" spans="1:15" x14ac:dyDescent="0.25">
      <c r="A55" s="6" t="s">
        <v>169</v>
      </c>
      <c r="B55" s="7">
        <v>46049</v>
      </c>
      <c r="C55" s="6" t="s">
        <v>106</v>
      </c>
      <c r="D55" s="6" t="s">
        <v>116</v>
      </c>
      <c r="E55" s="6" t="s">
        <v>103</v>
      </c>
      <c r="F55" s="6" t="s">
        <v>104</v>
      </c>
      <c r="G55" s="8">
        <v>1</v>
      </c>
      <c r="H55" s="9">
        <v>45000</v>
      </c>
      <c r="I55" s="11">
        <f t="shared" si="0"/>
        <v>45000</v>
      </c>
      <c r="O55" s="2"/>
    </row>
    <row r="56" spans="1:15" x14ac:dyDescent="0.25">
      <c r="A56" s="6" t="s">
        <v>170</v>
      </c>
      <c r="B56" s="7">
        <v>46050</v>
      </c>
      <c r="C56" s="6" t="s">
        <v>110</v>
      </c>
      <c r="D56" s="6" t="s">
        <v>113</v>
      </c>
      <c r="E56" s="6" t="s">
        <v>117</v>
      </c>
      <c r="F56" s="6" t="s">
        <v>219</v>
      </c>
      <c r="G56" s="8">
        <v>2</v>
      </c>
      <c r="H56" s="9">
        <v>22000</v>
      </c>
      <c r="I56" s="11">
        <f t="shared" si="0"/>
        <v>44000</v>
      </c>
      <c r="O56" s="2"/>
    </row>
    <row r="57" spans="1:15" x14ac:dyDescent="0.25">
      <c r="A57" s="6" t="s">
        <v>171</v>
      </c>
      <c r="B57" s="7">
        <v>46050</v>
      </c>
      <c r="C57" s="6" t="s">
        <v>115</v>
      </c>
      <c r="D57" s="6" t="s">
        <v>102</v>
      </c>
      <c r="E57" s="6" t="s">
        <v>108</v>
      </c>
      <c r="F57" s="6" t="s">
        <v>216</v>
      </c>
      <c r="G57" s="8">
        <v>1</v>
      </c>
      <c r="H57" s="9">
        <v>28000</v>
      </c>
      <c r="I57" s="11">
        <f t="shared" si="0"/>
        <v>28000</v>
      </c>
      <c r="O57" s="2"/>
    </row>
    <row r="58" spans="1:15" x14ac:dyDescent="0.25">
      <c r="A58" s="6" t="s">
        <v>172</v>
      </c>
      <c r="B58" s="7">
        <v>46051</v>
      </c>
      <c r="C58" s="6" t="s">
        <v>101</v>
      </c>
      <c r="D58" s="6" t="s">
        <v>119</v>
      </c>
      <c r="E58" s="6" t="s">
        <v>103</v>
      </c>
      <c r="F58" s="6" t="s">
        <v>217</v>
      </c>
      <c r="G58" s="8">
        <v>1</v>
      </c>
      <c r="H58" s="9">
        <v>52000</v>
      </c>
      <c r="I58" s="11">
        <f t="shared" si="0"/>
        <v>52000</v>
      </c>
      <c r="O58" s="2"/>
    </row>
    <row r="59" spans="1:15" x14ac:dyDescent="0.25">
      <c r="A59" s="6" t="s">
        <v>173</v>
      </c>
      <c r="B59" s="7">
        <v>46051</v>
      </c>
      <c r="C59" s="6" t="s">
        <v>106</v>
      </c>
      <c r="D59" s="6" t="s">
        <v>122</v>
      </c>
      <c r="E59" s="6" t="s">
        <v>117</v>
      </c>
      <c r="F59" s="6" t="s">
        <v>219</v>
      </c>
      <c r="G59" s="8">
        <v>3</v>
      </c>
      <c r="H59" s="9">
        <v>22000</v>
      </c>
      <c r="I59" s="11">
        <f t="shared" si="0"/>
        <v>66000</v>
      </c>
      <c r="O59" s="2"/>
    </row>
    <row r="60" spans="1:15" x14ac:dyDescent="0.25">
      <c r="A60" s="6" t="s">
        <v>174</v>
      </c>
      <c r="B60" s="7">
        <v>46052</v>
      </c>
      <c r="C60" s="6" t="s">
        <v>110</v>
      </c>
      <c r="D60" s="6" t="s">
        <v>107</v>
      </c>
      <c r="E60" s="6" t="s">
        <v>108</v>
      </c>
      <c r="F60" s="6" t="s">
        <v>218</v>
      </c>
      <c r="G60" s="8">
        <v>1</v>
      </c>
      <c r="H60" s="9">
        <v>18000</v>
      </c>
      <c r="I60" s="11">
        <f t="shared" si="0"/>
        <v>18000</v>
      </c>
      <c r="O60" s="2"/>
    </row>
    <row r="61" spans="1:15" x14ac:dyDescent="0.25">
      <c r="A61" s="6" t="s">
        <v>175</v>
      </c>
      <c r="B61" s="7">
        <v>46052</v>
      </c>
      <c r="C61" s="6" t="s">
        <v>115</v>
      </c>
      <c r="D61" s="6" t="s">
        <v>111</v>
      </c>
      <c r="E61" s="6" t="s">
        <v>103</v>
      </c>
      <c r="F61" s="6" t="s">
        <v>104</v>
      </c>
      <c r="G61" s="8">
        <v>2</v>
      </c>
      <c r="H61" s="9">
        <v>45000</v>
      </c>
      <c r="I61" s="11">
        <f t="shared" si="0"/>
        <v>90000</v>
      </c>
      <c r="O61" s="2"/>
    </row>
    <row r="62" spans="1:15" x14ac:dyDescent="0.25">
      <c r="A62" s="6" t="s">
        <v>176</v>
      </c>
      <c r="B62" s="7">
        <v>46053</v>
      </c>
      <c r="C62" s="6" t="s">
        <v>101</v>
      </c>
      <c r="D62" s="6" t="s">
        <v>124</v>
      </c>
      <c r="E62" s="6" t="s">
        <v>108</v>
      </c>
      <c r="F62" s="6" t="s">
        <v>216</v>
      </c>
      <c r="G62" s="8">
        <v>2</v>
      </c>
      <c r="H62" s="9">
        <v>28000</v>
      </c>
      <c r="I62" s="11">
        <f t="shared" si="0"/>
        <v>56000</v>
      </c>
      <c r="O62" s="2"/>
    </row>
    <row r="63" spans="1:15" x14ac:dyDescent="0.25">
      <c r="A63" s="6" t="s">
        <v>177</v>
      </c>
      <c r="B63" s="7">
        <v>46053</v>
      </c>
      <c r="C63" s="6" t="s">
        <v>106</v>
      </c>
      <c r="D63" s="6" t="s">
        <v>113</v>
      </c>
      <c r="E63" s="6" t="s">
        <v>103</v>
      </c>
      <c r="F63" s="6" t="s">
        <v>217</v>
      </c>
      <c r="G63" s="8">
        <v>1</v>
      </c>
      <c r="H63" s="9">
        <v>52000</v>
      </c>
      <c r="I63" s="11">
        <f t="shared" si="0"/>
        <v>52000</v>
      </c>
      <c r="O63" s="2"/>
    </row>
    <row r="64" spans="1:15" x14ac:dyDescent="0.25">
      <c r="A64" s="6" t="s">
        <v>178</v>
      </c>
      <c r="B64" s="7">
        <v>46054</v>
      </c>
      <c r="C64" s="6" t="s">
        <v>110</v>
      </c>
      <c r="D64" s="6" t="s">
        <v>102</v>
      </c>
      <c r="E64" s="6" t="s">
        <v>117</v>
      </c>
      <c r="F64" s="6" t="s">
        <v>219</v>
      </c>
      <c r="G64" s="8">
        <v>1</v>
      </c>
      <c r="H64" s="9">
        <v>22000</v>
      </c>
      <c r="I64" s="11">
        <f t="shared" si="0"/>
        <v>22000</v>
      </c>
      <c r="O64" s="2"/>
    </row>
    <row r="65" spans="1:15" x14ac:dyDescent="0.25">
      <c r="A65" s="6" t="s">
        <v>179</v>
      </c>
      <c r="B65" s="7">
        <v>46054</v>
      </c>
      <c r="C65" s="6" t="s">
        <v>115</v>
      </c>
      <c r="D65" s="6" t="s">
        <v>122</v>
      </c>
      <c r="E65" s="6" t="s">
        <v>108</v>
      </c>
      <c r="F65" s="6" t="s">
        <v>218</v>
      </c>
      <c r="G65" s="8">
        <v>2</v>
      </c>
      <c r="H65" s="9">
        <v>18000</v>
      </c>
      <c r="I65" s="11">
        <f t="shared" si="0"/>
        <v>36000</v>
      </c>
      <c r="O65" s="2"/>
    </row>
    <row r="66" spans="1:15" x14ac:dyDescent="0.25">
      <c r="A66" s="6" t="s">
        <v>180</v>
      </c>
      <c r="B66" s="7">
        <v>46055</v>
      </c>
      <c r="C66" s="6" t="s">
        <v>101</v>
      </c>
      <c r="D66" s="6" t="s">
        <v>116</v>
      </c>
      <c r="E66" s="6" t="s">
        <v>103</v>
      </c>
      <c r="F66" s="6" t="s">
        <v>104</v>
      </c>
      <c r="G66" s="8">
        <v>1</v>
      </c>
      <c r="H66" s="9">
        <v>45000</v>
      </c>
      <c r="I66" s="11">
        <f t="shared" si="0"/>
        <v>45000</v>
      </c>
      <c r="O66" s="2"/>
    </row>
    <row r="67" spans="1:15" x14ac:dyDescent="0.25">
      <c r="A67" s="6" t="s">
        <v>181</v>
      </c>
      <c r="B67" s="7">
        <v>46055</v>
      </c>
      <c r="C67" s="6" t="s">
        <v>106</v>
      </c>
      <c r="D67" s="6" t="s">
        <v>107</v>
      </c>
      <c r="E67" s="6" t="s">
        <v>108</v>
      </c>
      <c r="F67" s="6" t="s">
        <v>216</v>
      </c>
      <c r="G67" s="8">
        <v>1</v>
      </c>
      <c r="H67" s="9">
        <v>28000</v>
      </c>
      <c r="I67" s="11">
        <f t="shared" ref="I67:I101" si="1">G67*H67</f>
        <v>28000</v>
      </c>
      <c r="O67" s="2"/>
    </row>
    <row r="68" spans="1:15" x14ac:dyDescent="0.25">
      <c r="A68" s="6" t="s">
        <v>182</v>
      </c>
      <c r="B68" s="7">
        <v>46056</v>
      </c>
      <c r="C68" s="6" t="s">
        <v>110</v>
      </c>
      <c r="D68" s="6" t="s">
        <v>111</v>
      </c>
      <c r="E68" s="6" t="s">
        <v>117</v>
      </c>
      <c r="F68" s="6" t="s">
        <v>219</v>
      </c>
      <c r="G68" s="8">
        <v>2</v>
      </c>
      <c r="H68" s="9">
        <v>22000</v>
      </c>
      <c r="I68" s="11">
        <f t="shared" si="1"/>
        <v>44000</v>
      </c>
      <c r="O68" s="2"/>
    </row>
    <row r="69" spans="1:15" x14ac:dyDescent="0.25">
      <c r="A69" s="6" t="s">
        <v>183</v>
      </c>
      <c r="B69" s="7">
        <v>46056</v>
      </c>
      <c r="C69" s="6" t="s">
        <v>115</v>
      </c>
      <c r="D69" s="6" t="s">
        <v>113</v>
      </c>
      <c r="E69" s="6" t="s">
        <v>108</v>
      </c>
      <c r="F69" s="6" t="s">
        <v>218</v>
      </c>
      <c r="G69" s="8">
        <v>1</v>
      </c>
      <c r="H69" s="9">
        <v>18000</v>
      </c>
      <c r="I69" s="11">
        <f t="shared" si="1"/>
        <v>18000</v>
      </c>
      <c r="O69" s="2"/>
    </row>
    <row r="70" spans="1:15" x14ac:dyDescent="0.25">
      <c r="A70" s="6" t="s">
        <v>184</v>
      </c>
      <c r="B70" s="7">
        <v>46057</v>
      </c>
      <c r="C70" s="6" t="s">
        <v>101</v>
      </c>
      <c r="D70" s="6" t="s">
        <v>122</v>
      </c>
      <c r="E70" s="6" t="s">
        <v>103</v>
      </c>
      <c r="F70" s="6" t="s">
        <v>217</v>
      </c>
      <c r="G70" s="8">
        <v>2</v>
      </c>
      <c r="H70" s="9">
        <v>52000</v>
      </c>
      <c r="I70" s="11">
        <f t="shared" si="1"/>
        <v>104000</v>
      </c>
      <c r="O70" s="2"/>
    </row>
    <row r="71" spans="1:15" x14ac:dyDescent="0.25">
      <c r="A71" s="6" t="s">
        <v>185</v>
      </c>
      <c r="B71" s="7">
        <v>46057</v>
      </c>
      <c r="C71" s="6" t="s">
        <v>106</v>
      </c>
      <c r="D71" s="6" t="s">
        <v>102</v>
      </c>
      <c r="E71" s="6" t="s">
        <v>108</v>
      </c>
      <c r="F71" s="6" t="s">
        <v>216</v>
      </c>
      <c r="G71" s="8">
        <v>1</v>
      </c>
      <c r="H71" s="9">
        <v>28000</v>
      </c>
      <c r="I71" s="11">
        <f t="shared" si="1"/>
        <v>28000</v>
      </c>
      <c r="O71" s="2"/>
    </row>
    <row r="72" spans="1:15" x14ac:dyDescent="0.25">
      <c r="A72" s="6" t="s">
        <v>186</v>
      </c>
      <c r="B72" s="7">
        <v>46058</v>
      </c>
      <c r="C72" s="6" t="s">
        <v>110</v>
      </c>
      <c r="D72" s="6" t="s">
        <v>119</v>
      </c>
      <c r="E72" s="6" t="s">
        <v>103</v>
      </c>
      <c r="F72" s="6" t="s">
        <v>104</v>
      </c>
      <c r="G72" s="8">
        <v>1</v>
      </c>
      <c r="H72" s="9">
        <v>45000</v>
      </c>
      <c r="I72" s="11">
        <f t="shared" si="1"/>
        <v>45000</v>
      </c>
      <c r="O72" s="2"/>
    </row>
    <row r="73" spans="1:15" x14ac:dyDescent="0.25">
      <c r="A73" s="6" t="s">
        <v>187</v>
      </c>
      <c r="B73" s="7">
        <v>46058</v>
      </c>
      <c r="C73" s="6" t="s">
        <v>115</v>
      </c>
      <c r="D73" s="6" t="s">
        <v>124</v>
      </c>
      <c r="E73" s="6" t="s">
        <v>117</v>
      </c>
      <c r="F73" s="6" t="s">
        <v>219</v>
      </c>
      <c r="G73" s="8">
        <v>3</v>
      </c>
      <c r="H73" s="9">
        <v>22000</v>
      </c>
      <c r="I73" s="11">
        <f t="shared" si="1"/>
        <v>66000</v>
      </c>
      <c r="O73" s="2"/>
    </row>
    <row r="74" spans="1:15" x14ac:dyDescent="0.25">
      <c r="A74" s="6" t="s">
        <v>188</v>
      </c>
      <c r="B74" s="7">
        <v>46059</v>
      </c>
      <c r="C74" s="6" t="s">
        <v>101</v>
      </c>
      <c r="D74" s="6" t="s">
        <v>111</v>
      </c>
      <c r="E74" s="6" t="s">
        <v>108</v>
      </c>
      <c r="F74" s="6" t="s">
        <v>218</v>
      </c>
      <c r="G74" s="8">
        <v>2</v>
      </c>
      <c r="H74" s="9">
        <v>18000</v>
      </c>
      <c r="I74" s="11">
        <f t="shared" si="1"/>
        <v>36000</v>
      </c>
      <c r="O74" s="2"/>
    </row>
    <row r="75" spans="1:15" x14ac:dyDescent="0.25">
      <c r="A75" s="6" t="s">
        <v>189</v>
      </c>
      <c r="B75" s="7">
        <v>46059</v>
      </c>
      <c r="C75" s="6" t="s">
        <v>106</v>
      </c>
      <c r="D75" s="6" t="s">
        <v>116</v>
      </c>
      <c r="E75" s="6" t="s">
        <v>103</v>
      </c>
      <c r="F75" s="6" t="s">
        <v>217</v>
      </c>
      <c r="G75" s="8">
        <v>1</v>
      </c>
      <c r="H75" s="9">
        <v>52000</v>
      </c>
      <c r="I75" s="11">
        <f t="shared" si="1"/>
        <v>52000</v>
      </c>
      <c r="O75" s="2"/>
    </row>
    <row r="76" spans="1:15" x14ac:dyDescent="0.25">
      <c r="A76" s="6" t="s">
        <v>190</v>
      </c>
      <c r="B76" s="7">
        <v>46060</v>
      </c>
      <c r="C76" s="6" t="s">
        <v>110</v>
      </c>
      <c r="D76" s="6" t="s">
        <v>113</v>
      </c>
      <c r="E76" s="6" t="s">
        <v>108</v>
      </c>
      <c r="F76" s="6" t="s">
        <v>216</v>
      </c>
      <c r="G76" s="8">
        <v>2</v>
      </c>
      <c r="H76" s="9">
        <v>28000</v>
      </c>
      <c r="I76" s="11">
        <f t="shared" si="1"/>
        <v>56000</v>
      </c>
      <c r="O76" s="2"/>
    </row>
    <row r="77" spans="1:15" x14ac:dyDescent="0.25">
      <c r="A77" s="6" t="s">
        <v>191</v>
      </c>
      <c r="B77" s="7">
        <v>46060</v>
      </c>
      <c r="C77" s="6" t="s">
        <v>115</v>
      </c>
      <c r="D77" s="6" t="s">
        <v>102</v>
      </c>
      <c r="E77" s="6" t="s">
        <v>117</v>
      </c>
      <c r="F77" s="6" t="s">
        <v>219</v>
      </c>
      <c r="G77" s="8">
        <v>1</v>
      </c>
      <c r="H77" s="9">
        <v>22000</v>
      </c>
      <c r="I77" s="11">
        <f t="shared" si="1"/>
        <v>22000</v>
      </c>
      <c r="O77" s="2"/>
    </row>
    <row r="78" spans="1:15" x14ac:dyDescent="0.25">
      <c r="A78" s="6" t="s">
        <v>192</v>
      </c>
      <c r="B78" s="7">
        <v>46061</v>
      </c>
      <c r="C78" s="6" t="s">
        <v>101</v>
      </c>
      <c r="D78" s="6" t="s">
        <v>122</v>
      </c>
      <c r="E78" s="6" t="s">
        <v>108</v>
      </c>
      <c r="F78" s="6" t="s">
        <v>218</v>
      </c>
      <c r="G78" s="8">
        <v>1</v>
      </c>
      <c r="H78" s="9">
        <v>18000</v>
      </c>
      <c r="I78" s="11">
        <f t="shared" si="1"/>
        <v>18000</v>
      </c>
      <c r="O78" s="2"/>
    </row>
    <row r="79" spans="1:15" x14ac:dyDescent="0.25">
      <c r="A79" s="6" t="s">
        <v>193</v>
      </c>
      <c r="B79" s="7">
        <v>46061</v>
      </c>
      <c r="C79" s="6" t="s">
        <v>106</v>
      </c>
      <c r="D79" s="6" t="s">
        <v>107</v>
      </c>
      <c r="E79" s="6" t="s">
        <v>103</v>
      </c>
      <c r="F79" s="6" t="s">
        <v>104</v>
      </c>
      <c r="G79" s="8">
        <v>2</v>
      </c>
      <c r="H79" s="9">
        <v>45000</v>
      </c>
      <c r="I79" s="11">
        <f t="shared" si="1"/>
        <v>90000</v>
      </c>
      <c r="O79" s="2"/>
    </row>
    <row r="80" spans="1:15" x14ac:dyDescent="0.25">
      <c r="A80" s="6" t="s">
        <v>194</v>
      </c>
      <c r="B80" s="7">
        <v>46062</v>
      </c>
      <c r="C80" s="6" t="s">
        <v>110</v>
      </c>
      <c r="D80" s="6" t="s">
        <v>111</v>
      </c>
      <c r="E80" s="6" t="s">
        <v>117</v>
      </c>
      <c r="F80" s="6" t="s">
        <v>219</v>
      </c>
      <c r="G80" s="8">
        <v>1</v>
      </c>
      <c r="H80" s="9">
        <v>22000</v>
      </c>
      <c r="I80" s="11">
        <f t="shared" si="1"/>
        <v>22000</v>
      </c>
      <c r="O80" s="2"/>
    </row>
    <row r="81" spans="1:15" x14ac:dyDescent="0.25">
      <c r="A81" s="6" t="s">
        <v>195</v>
      </c>
      <c r="B81" s="7">
        <v>46062</v>
      </c>
      <c r="C81" s="6" t="s">
        <v>115</v>
      </c>
      <c r="D81" s="6" t="s">
        <v>119</v>
      </c>
      <c r="E81" s="6" t="s">
        <v>108</v>
      </c>
      <c r="F81" s="6" t="s">
        <v>216</v>
      </c>
      <c r="G81" s="8">
        <v>2</v>
      </c>
      <c r="H81" s="9">
        <v>28000</v>
      </c>
      <c r="I81" s="11">
        <f t="shared" si="1"/>
        <v>56000</v>
      </c>
      <c r="O81" s="2"/>
    </row>
    <row r="82" spans="1:15" x14ac:dyDescent="0.25">
      <c r="A82" s="6" t="s">
        <v>196</v>
      </c>
      <c r="B82" s="7">
        <v>46063</v>
      </c>
      <c r="C82" s="6" t="s">
        <v>101</v>
      </c>
      <c r="D82" s="6" t="s">
        <v>116</v>
      </c>
      <c r="E82" s="6" t="s">
        <v>103</v>
      </c>
      <c r="F82" s="6" t="s">
        <v>217</v>
      </c>
      <c r="G82" s="8">
        <v>1</v>
      </c>
      <c r="H82" s="9">
        <v>52000</v>
      </c>
      <c r="I82" s="11">
        <f t="shared" si="1"/>
        <v>52000</v>
      </c>
      <c r="O82" s="2"/>
    </row>
    <row r="83" spans="1:15" x14ac:dyDescent="0.25">
      <c r="A83" s="6" t="s">
        <v>197</v>
      </c>
      <c r="B83" s="7">
        <v>46063</v>
      </c>
      <c r="C83" s="6" t="s">
        <v>106</v>
      </c>
      <c r="D83" s="6" t="s">
        <v>124</v>
      </c>
      <c r="E83" s="6" t="s">
        <v>108</v>
      </c>
      <c r="F83" s="6" t="s">
        <v>218</v>
      </c>
      <c r="G83" s="8">
        <v>2</v>
      </c>
      <c r="H83" s="9">
        <v>18000</v>
      </c>
      <c r="I83" s="11">
        <f t="shared" si="1"/>
        <v>36000</v>
      </c>
      <c r="O83" s="2"/>
    </row>
    <row r="84" spans="1:15" x14ac:dyDescent="0.25">
      <c r="A84" s="6" t="s">
        <v>198</v>
      </c>
      <c r="B84" s="7">
        <v>46064</v>
      </c>
      <c r="C84" s="6" t="s">
        <v>110</v>
      </c>
      <c r="D84" s="6" t="s">
        <v>102</v>
      </c>
      <c r="E84" s="6" t="s">
        <v>117</v>
      </c>
      <c r="F84" s="6" t="s">
        <v>219</v>
      </c>
      <c r="G84" s="8">
        <v>2</v>
      </c>
      <c r="H84" s="9">
        <v>22000</v>
      </c>
      <c r="I84" s="11">
        <f t="shared" si="1"/>
        <v>44000</v>
      </c>
      <c r="O84" s="2"/>
    </row>
    <row r="85" spans="1:15" x14ac:dyDescent="0.25">
      <c r="A85" s="6" t="s">
        <v>199</v>
      </c>
      <c r="B85" s="7">
        <v>46064</v>
      </c>
      <c r="C85" s="6" t="s">
        <v>115</v>
      </c>
      <c r="D85" s="6" t="s">
        <v>122</v>
      </c>
      <c r="E85" s="6" t="s">
        <v>103</v>
      </c>
      <c r="F85" s="6" t="s">
        <v>104</v>
      </c>
      <c r="G85" s="8">
        <v>1</v>
      </c>
      <c r="H85" s="9">
        <v>45000</v>
      </c>
      <c r="I85" s="11">
        <f t="shared" si="1"/>
        <v>45000</v>
      </c>
      <c r="O85" s="2"/>
    </row>
    <row r="86" spans="1:15" x14ac:dyDescent="0.25">
      <c r="A86" s="6" t="s">
        <v>200</v>
      </c>
      <c r="B86" s="7">
        <v>46065</v>
      </c>
      <c r="C86" s="6" t="s">
        <v>101</v>
      </c>
      <c r="D86" s="6" t="s">
        <v>113</v>
      </c>
      <c r="E86" s="6" t="s">
        <v>108</v>
      </c>
      <c r="F86" s="6" t="s">
        <v>216</v>
      </c>
      <c r="G86" s="8">
        <v>1</v>
      </c>
      <c r="H86" s="9">
        <v>28000</v>
      </c>
      <c r="I86" s="11">
        <f t="shared" si="1"/>
        <v>28000</v>
      </c>
      <c r="O86" s="2"/>
    </row>
    <row r="87" spans="1:15" x14ac:dyDescent="0.25">
      <c r="A87" s="6" t="s">
        <v>201</v>
      </c>
      <c r="B87" s="7">
        <v>46065</v>
      </c>
      <c r="C87" s="6" t="s">
        <v>106</v>
      </c>
      <c r="D87" s="6" t="s">
        <v>111</v>
      </c>
      <c r="E87" s="6" t="s">
        <v>103</v>
      </c>
      <c r="F87" s="6" t="s">
        <v>217</v>
      </c>
      <c r="G87" s="8">
        <v>2</v>
      </c>
      <c r="H87" s="9">
        <v>52000</v>
      </c>
      <c r="I87" s="11">
        <f t="shared" si="1"/>
        <v>104000</v>
      </c>
      <c r="O87" s="2"/>
    </row>
    <row r="88" spans="1:15" x14ac:dyDescent="0.25">
      <c r="A88" s="6" t="s">
        <v>202</v>
      </c>
      <c r="B88" s="7">
        <v>46066</v>
      </c>
      <c r="C88" s="6" t="s">
        <v>110</v>
      </c>
      <c r="D88" s="6" t="s">
        <v>107</v>
      </c>
      <c r="E88" s="6" t="s">
        <v>117</v>
      </c>
      <c r="F88" s="6" t="s">
        <v>219</v>
      </c>
      <c r="G88" s="8">
        <v>1</v>
      </c>
      <c r="H88" s="9">
        <v>22000</v>
      </c>
      <c r="I88" s="11">
        <f t="shared" si="1"/>
        <v>22000</v>
      </c>
      <c r="O88" s="2"/>
    </row>
    <row r="89" spans="1:15" x14ac:dyDescent="0.25">
      <c r="A89" s="6" t="s">
        <v>203</v>
      </c>
      <c r="B89" s="7">
        <v>46066</v>
      </c>
      <c r="C89" s="6" t="s">
        <v>115</v>
      </c>
      <c r="D89" s="6" t="s">
        <v>102</v>
      </c>
      <c r="E89" s="6" t="s">
        <v>108</v>
      </c>
      <c r="F89" s="6" t="s">
        <v>218</v>
      </c>
      <c r="G89" s="8">
        <v>3</v>
      </c>
      <c r="H89" s="9">
        <v>18000</v>
      </c>
      <c r="I89" s="11">
        <f t="shared" si="1"/>
        <v>54000</v>
      </c>
      <c r="O89" s="2"/>
    </row>
    <row r="90" spans="1:15" x14ac:dyDescent="0.25">
      <c r="A90" s="6" t="s">
        <v>204</v>
      </c>
      <c r="B90" s="7">
        <v>46067</v>
      </c>
      <c r="C90" s="6" t="s">
        <v>101</v>
      </c>
      <c r="D90" s="6" t="s">
        <v>122</v>
      </c>
      <c r="E90" s="6" t="s">
        <v>103</v>
      </c>
      <c r="F90" s="6" t="s">
        <v>217</v>
      </c>
      <c r="G90" s="8">
        <v>1</v>
      </c>
      <c r="H90" s="9">
        <v>52000</v>
      </c>
      <c r="I90" s="11">
        <f t="shared" si="1"/>
        <v>52000</v>
      </c>
      <c r="O90" s="2"/>
    </row>
    <row r="91" spans="1:15" x14ac:dyDescent="0.25">
      <c r="A91" s="6" t="s">
        <v>205</v>
      </c>
      <c r="B91" s="7">
        <v>46067</v>
      </c>
      <c r="C91" s="6" t="s">
        <v>106</v>
      </c>
      <c r="D91" s="6" t="s">
        <v>113</v>
      </c>
      <c r="E91" s="6" t="s">
        <v>117</v>
      </c>
      <c r="F91" s="6" t="s">
        <v>219</v>
      </c>
      <c r="G91" s="8">
        <v>2</v>
      </c>
      <c r="H91" s="9">
        <v>22000</v>
      </c>
      <c r="I91" s="11">
        <f t="shared" si="1"/>
        <v>44000</v>
      </c>
      <c r="O91" s="2"/>
    </row>
    <row r="92" spans="1:15" x14ac:dyDescent="0.25">
      <c r="A92" s="6" t="s">
        <v>206</v>
      </c>
      <c r="B92" s="7">
        <v>46068</v>
      </c>
      <c r="C92" s="6" t="s">
        <v>110</v>
      </c>
      <c r="D92" s="6" t="s">
        <v>116</v>
      </c>
      <c r="E92" s="6" t="s">
        <v>108</v>
      </c>
      <c r="F92" s="6" t="s">
        <v>216</v>
      </c>
      <c r="G92" s="8">
        <v>1</v>
      </c>
      <c r="H92" s="9">
        <v>28000</v>
      </c>
      <c r="I92" s="11">
        <f t="shared" si="1"/>
        <v>28000</v>
      </c>
      <c r="O92" s="2"/>
    </row>
    <row r="93" spans="1:15" x14ac:dyDescent="0.25">
      <c r="A93" s="6" t="s">
        <v>207</v>
      </c>
      <c r="B93" s="7">
        <v>46068</v>
      </c>
      <c r="C93" s="6" t="s">
        <v>115</v>
      </c>
      <c r="D93" s="6" t="s">
        <v>124</v>
      </c>
      <c r="E93" s="6" t="s">
        <v>103</v>
      </c>
      <c r="F93" s="6" t="s">
        <v>104</v>
      </c>
      <c r="G93" s="8">
        <v>2</v>
      </c>
      <c r="H93" s="9">
        <v>45000</v>
      </c>
      <c r="I93" s="11">
        <f t="shared" si="1"/>
        <v>90000</v>
      </c>
      <c r="O93" s="2"/>
    </row>
    <row r="94" spans="1:15" x14ac:dyDescent="0.25">
      <c r="A94" s="6" t="s">
        <v>208</v>
      </c>
      <c r="B94" s="7">
        <v>46069</v>
      </c>
      <c r="C94" s="6" t="s">
        <v>101</v>
      </c>
      <c r="D94" s="6" t="s">
        <v>119</v>
      </c>
      <c r="E94" s="6" t="s">
        <v>108</v>
      </c>
      <c r="F94" s="6" t="s">
        <v>218</v>
      </c>
      <c r="G94" s="8">
        <v>1</v>
      </c>
      <c r="H94" s="9">
        <v>18000</v>
      </c>
      <c r="I94" s="11">
        <f t="shared" si="1"/>
        <v>18000</v>
      </c>
      <c r="O94" s="2"/>
    </row>
    <row r="95" spans="1:15" x14ac:dyDescent="0.25">
      <c r="A95" s="6" t="s">
        <v>209</v>
      </c>
      <c r="B95" s="7">
        <v>46069</v>
      </c>
      <c r="C95" s="6" t="s">
        <v>106</v>
      </c>
      <c r="D95" s="6" t="s">
        <v>102</v>
      </c>
      <c r="E95" s="6" t="s">
        <v>117</v>
      </c>
      <c r="F95" s="6" t="s">
        <v>219</v>
      </c>
      <c r="G95" s="8">
        <v>2</v>
      </c>
      <c r="H95" s="9">
        <v>22000</v>
      </c>
      <c r="I95" s="11">
        <f t="shared" si="1"/>
        <v>44000</v>
      </c>
      <c r="O95" s="2"/>
    </row>
    <row r="96" spans="1:15" x14ac:dyDescent="0.25">
      <c r="A96" s="6" t="s">
        <v>210</v>
      </c>
      <c r="B96" s="7">
        <v>46070</v>
      </c>
      <c r="C96" s="6" t="s">
        <v>110</v>
      </c>
      <c r="D96" s="6" t="s">
        <v>122</v>
      </c>
      <c r="E96" s="6" t="s">
        <v>108</v>
      </c>
      <c r="F96" s="6" t="s">
        <v>216</v>
      </c>
      <c r="G96" s="8">
        <v>1</v>
      </c>
      <c r="H96" s="9">
        <v>28000</v>
      </c>
      <c r="I96" s="11">
        <f t="shared" si="1"/>
        <v>28000</v>
      </c>
      <c r="O96" s="2"/>
    </row>
    <row r="97" spans="1:15" x14ac:dyDescent="0.25">
      <c r="A97" s="6" t="s">
        <v>211</v>
      </c>
      <c r="B97" s="7">
        <v>46070</v>
      </c>
      <c r="C97" s="6" t="s">
        <v>115</v>
      </c>
      <c r="D97" s="6" t="s">
        <v>107</v>
      </c>
      <c r="E97" s="6" t="s">
        <v>103</v>
      </c>
      <c r="F97" s="6" t="s">
        <v>217</v>
      </c>
      <c r="G97" s="8">
        <v>1</v>
      </c>
      <c r="H97" s="9">
        <v>52000</v>
      </c>
      <c r="I97" s="11">
        <f t="shared" si="1"/>
        <v>52000</v>
      </c>
      <c r="O97" s="2"/>
    </row>
    <row r="98" spans="1:15" x14ac:dyDescent="0.25">
      <c r="A98" s="6" t="s">
        <v>212</v>
      </c>
      <c r="B98" s="7">
        <v>46071</v>
      </c>
      <c r="C98" s="6" t="s">
        <v>101</v>
      </c>
      <c r="D98" s="6" t="s">
        <v>111</v>
      </c>
      <c r="E98" s="6" t="s">
        <v>117</v>
      </c>
      <c r="F98" s="6" t="s">
        <v>219</v>
      </c>
      <c r="G98" s="8">
        <v>3</v>
      </c>
      <c r="H98" s="9">
        <v>22000</v>
      </c>
      <c r="I98" s="11">
        <f t="shared" si="1"/>
        <v>66000</v>
      </c>
      <c r="O98" s="2"/>
    </row>
    <row r="99" spans="1:15" x14ac:dyDescent="0.25">
      <c r="A99" s="6" t="s">
        <v>213</v>
      </c>
      <c r="B99" s="7">
        <v>46071</v>
      </c>
      <c r="C99" s="6" t="s">
        <v>106</v>
      </c>
      <c r="D99" s="6" t="s">
        <v>113</v>
      </c>
      <c r="E99" s="6" t="s">
        <v>108</v>
      </c>
      <c r="F99" s="6" t="s">
        <v>218</v>
      </c>
      <c r="G99" s="8">
        <v>2</v>
      </c>
      <c r="H99" s="9">
        <v>18000</v>
      </c>
      <c r="I99" s="11">
        <f t="shared" si="1"/>
        <v>36000</v>
      </c>
      <c r="O99" s="2"/>
    </row>
    <row r="100" spans="1:15" x14ac:dyDescent="0.25">
      <c r="A100" s="6" t="s">
        <v>214</v>
      </c>
      <c r="B100" s="7">
        <v>46072</v>
      </c>
      <c r="C100" s="6" t="s">
        <v>110</v>
      </c>
      <c r="D100" s="6" t="s">
        <v>116</v>
      </c>
      <c r="E100" s="6" t="s">
        <v>103</v>
      </c>
      <c r="F100" s="6" t="s">
        <v>104</v>
      </c>
      <c r="G100" s="8">
        <v>1</v>
      </c>
      <c r="H100" s="9">
        <v>45000</v>
      </c>
      <c r="I100" s="11">
        <f t="shared" si="1"/>
        <v>45000</v>
      </c>
      <c r="O100" s="2"/>
    </row>
    <row r="101" spans="1:15" x14ac:dyDescent="0.25">
      <c r="A101" s="6" t="s">
        <v>215</v>
      </c>
      <c r="B101" s="7">
        <v>46072</v>
      </c>
      <c r="C101" s="6" t="s">
        <v>115</v>
      </c>
      <c r="D101" s="6" t="s">
        <v>124</v>
      </c>
      <c r="E101" s="6" t="s">
        <v>108</v>
      </c>
      <c r="F101" s="6" t="s">
        <v>216</v>
      </c>
      <c r="G101" s="8">
        <v>2</v>
      </c>
      <c r="H101" s="9">
        <v>28000</v>
      </c>
      <c r="I101" s="11">
        <f t="shared" si="1"/>
        <v>56000</v>
      </c>
      <c r="O101"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0A462-6415-4E67-ABAF-3348854819CC}">
  <dimension ref="A3:B8"/>
  <sheetViews>
    <sheetView workbookViewId="0">
      <selection activeCell="C25" sqref="C25"/>
    </sheetView>
  </sheetViews>
  <sheetFormatPr defaultRowHeight="15" x14ac:dyDescent="0.25"/>
  <cols>
    <col min="1" max="1" width="13.140625" bestFit="1" customWidth="1"/>
    <col min="2" max="2" width="15.5703125" bestFit="1" customWidth="1"/>
    <col min="3" max="13" width="8.140625" bestFit="1" customWidth="1"/>
    <col min="14" max="14" width="9.140625" bestFit="1" customWidth="1"/>
    <col min="15" max="15" width="11.28515625" bestFit="1" customWidth="1"/>
  </cols>
  <sheetData>
    <row r="3" spans="1:2" x14ac:dyDescent="0.25">
      <c r="A3" s="12" t="s">
        <v>230</v>
      </c>
      <c r="B3" s="4" t="s">
        <v>231</v>
      </c>
    </row>
    <row r="4" spans="1:2" x14ac:dyDescent="0.25">
      <c r="A4" s="13" t="s">
        <v>101</v>
      </c>
      <c r="B4" s="10">
        <v>1316000</v>
      </c>
    </row>
    <row r="5" spans="1:2" x14ac:dyDescent="0.25">
      <c r="A5" s="13" t="s">
        <v>106</v>
      </c>
      <c r="B5" s="10">
        <v>1198000</v>
      </c>
    </row>
    <row r="6" spans="1:2" x14ac:dyDescent="0.25">
      <c r="A6" s="13" t="s">
        <v>110</v>
      </c>
      <c r="B6" s="10">
        <v>1033000</v>
      </c>
    </row>
    <row r="7" spans="1:2" x14ac:dyDescent="0.25">
      <c r="A7" s="13" t="s">
        <v>115</v>
      </c>
      <c r="B7" s="10">
        <v>1262000</v>
      </c>
    </row>
    <row r="8" spans="1:2" x14ac:dyDescent="0.25">
      <c r="A8" s="13" t="s">
        <v>229</v>
      </c>
      <c r="B8" s="10">
        <v>4809000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FE7D6-37B1-4344-B304-CE9C84138E3C}">
  <dimension ref="A3:C7"/>
  <sheetViews>
    <sheetView workbookViewId="0">
      <selection activeCell="O6" sqref="O6"/>
    </sheetView>
  </sheetViews>
  <sheetFormatPr defaultRowHeight="15" x14ac:dyDescent="0.25"/>
  <cols>
    <col min="1" max="1" width="13.140625" bestFit="1" customWidth="1"/>
    <col min="2" max="2" width="15.5703125" bestFit="1" customWidth="1"/>
    <col min="3" max="3" width="11" bestFit="1" customWidth="1"/>
  </cols>
  <sheetData>
    <row r="3" spans="1:3" x14ac:dyDescent="0.25">
      <c r="A3" s="12" t="s">
        <v>230</v>
      </c>
      <c r="B3" s="4" t="s">
        <v>231</v>
      </c>
      <c r="C3" s="4" t="s">
        <v>232</v>
      </c>
    </row>
    <row r="4" spans="1:3" x14ac:dyDescent="0.25">
      <c r="A4" s="13" t="s">
        <v>103</v>
      </c>
      <c r="B4" s="10">
        <v>2321000</v>
      </c>
      <c r="C4" s="14">
        <v>0.4826367228113953</v>
      </c>
    </row>
    <row r="5" spans="1:3" x14ac:dyDescent="0.25">
      <c r="A5" s="13" t="s">
        <v>108</v>
      </c>
      <c r="B5" s="10">
        <v>1564000</v>
      </c>
      <c r="C5" s="14">
        <v>0.32522353919733832</v>
      </c>
    </row>
    <row r="6" spans="1:3" x14ac:dyDescent="0.25">
      <c r="A6" s="13" t="s">
        <v>117</v>
      </c>
      <c r="B6" s="10">
        <v>924000</v>
      </c>
      <c r="C6" s="14">
        <v>0.19213973799126638</v>
      </c>
    </row>
    <row r="7" spans="1:3" x14ac:dyDescent="0.25">
      <c r="A7" s="13" t="s">
        <v>229</v>
      </c>
      <c r="B7" s="10">
        <v>4809000</v>
      </c>
      <c r="C7" s="14">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F708E-88D3-4F1C-9874-54DF941BD8C3}">
  <dimension ref="A3:M56"/>
  <sheetViews>
    <sheetView workbookViewId="0">
      <selection activeCell="N15" sqref="N15"/>
    </sheetView>
  </sheetViews>
  <sheetFormatPr defaultRowHeight="15" x14ac:dyDescent="0.25"/>
  <cols>
    <col min="1" max="1" width="13.140625" bestFit="1" customWidth="1"/>
    <col min="2" max="2" width="15.5703125" bestFit="1" customWidth="1"/>
  </cols>
  <sheetData>
    <row r="3" spans="1:13" x14ac:dyDescent="0.25">
      <c r="A3" s="12" t="s">
        <v>230</v>
      </c>
      <c r="B3" s="4" t="s">
        <v>231</v>
      </c>
    </row>
    <row r="4" spans="1:13" x14ac:dyDescent="0.25">
      <c r="A4" s="13" t="s">
        <v>233</v>
      </c>
      <c r="B4" s="10">
        <v>3077000</v>
      </c>
    </row>
    <row r="5" spans="1:13" x14ac:dyDescent="0.25">
      <c r="A5" s="15" t="s">
        <v>234</v>
      </c>
      <c r="B5" s="10">
        <v>118000</v>
      </c>
    </row>
    <row r="6" spans="1:13" x14ac:dyDescent="0.25">
      <c r="A6" s="15" t="s">
        <v>235</v>
      </c>
      <c r="B6" s="10">
        <v>106000</v>
      </c>
    </row>
    <row r="7" spans="1:13" x14ac:dyDescent="0.25">
      <c r="A7" s="15" t="s">
        <v>236</v>
      </c>
      <c r="B7" s="10">
        <v>89000</v>
      </c>
    </row>
    <row r="8" spans="1:13" x14ac:dyDescent="0.25">
      <c r="A8" s="15" t="s">
        <v>237</v>
      </c>
      <c r="B8" s="10">
        <v>78000</v>
      </c>
    </row>
    <row r="9" spans="1:13" x14ac:dyDescent="0.25">
      <c r="A9" s="15" t="s">
        <v>238</v>
      </c>
      <c r="B9" s="10">
        <v>88000</v>
      </c>
    </row>
    <row r="10" spans="1:13" x14ac:dyDescent="0.25">
      <c r="A10" s="15" t="s">
        <v>239</v>
      </c>
      <c r="B10" s="10">
        <v>156000</v>
      </c>
    </row>
    <row r="11" spans="1:13" x14ac:dyDescent="0.25">
      <c r="A11" s="15" t="s">
        <v>240</v>
      </c>
      <c r="B11" s="10">
        <v>132000</v>
      </c>
    </row>
    <row r="12" spans="1:13" x14ac:dyDescent="0.25">
      <c r="A12" s="15" t="s">
        <v>241</v>
      </c>
      <c r="B12" s="10">
        <v>62000</v>
      </c>
    </row>
    <row r="13" spans="1:13" x14ac:dyDescent="0.25">
      <c r="A13" s="15" t="s">
        <v>242</v>
      </c>
      <c r="B13" s="10">
        <v>101000</v>
      </c>
    </row>
    <row r="14" spans="1:13" x14ac:dyDescent="0.25">
      <c r="A14" s="15" t="s">
        <v>243</v>
      </c>
      <c r="B14" s="10">
        <v>88000</v>
      </c>
    </row>
    <row r="15" spans="1:13" x14ac:dyDescent="0.25">
      <c r="A15" s="15" t="s">
        <v>244</v>
      </c>
      <c r="B15" s="10">
        <v>101000</v>
      </c>
      <c r="M15" s="4"/>
    </row>
    <row r="16" spans="1:13" x14ac:dyDescent="0.25">
      <c r="A16" s="15" t="s">
        <v>245</v>
      </c>
      <c r="B16" s="10">
        <v>76000</v>
      </c>
    </row>
    <row r="17" spans="1:2" x14ac:dyDescent="0.25">
      <c r="A17" s="15" t="s">
        <v>246</v>
      </c>
      <c r="B17" s="10">
        <v>148000</v>
      </c>
    </row>
    <row r="18" spans="1:2" x14ac:dyDescent="0.25">
      <c r="A18" s="15" t="s">
        <v>247</v>
      </c>
      <c r="B18" s="10">
        <v>73000</v>
      </c>
    </row>
    <row r="19" spans="1:2" x14ac:dyDescent="0.25">
      <c r="A19" s="15" t="s">
        <v>248</v>
      </c>
      <c r="B19" s="10">
        <v>58000</v>
      </c>
    </row>
    <row r="20" spans="1:2" x14ac:dyDescent="0.25">
      <c r="A20" s="15" t="s">
        <v>249</v>
      </c>
      <c r="B20" s="10">
        <v>108000</v>
      </c>
    </row>
    <row r="21" spans="1:2" x14ac:dyDescent="0.25">
      <c r="A21" s="15" t="s">
        <v>250</v>
      </c>
      <c r="B21" s="10">
        <v>112000</v>
      </c>
    </row>
    <row r="22" spans="1:2" x14ac:dyDescent="0.25">
      <c r="A22" s="15" t="s">
        <v>251</v>
      </c>
      <c r="B22" s="10">
        <v>80000</v>
      </c>
    </row>
    <row r="23" spans="1:2" x14ac:dyDescent="0.25">
      <c r="A23" s="15" t="s">
        <v>252</v>
      </c>
      <c r="B23" s="10">
        <v>98000</v>
      </c>
    </row>
    <row r="24" spans="1:2" x14ac:dyDescent="0.25">
      <c r="A24" s="15" t="s">
        <v>253</v>
      </c>
      <c r="B24" s="10">
        <v>73000</v>
      </c>
    </row>
    <row r="25" spans="1:2" x14ac:dyDescent="0.25">
      <c r="A25" s="15" t="s">
        <v>254</v>
      </c>
      <c r="B25" s="10">
        <v>96000</v>
      </c>
    </row>
    <row r="26" spans="1:2" x14ac:dyDescent="0.25">
      <c r="A26" s="15" t="s">
        <v>255</v>
      </c>
      <c r="B26" s="10">
        <v>74000</v>
      </c>
    </row>
    <row r="27" spans="1:2" x14ac:dyDescent="0.25">
      <c r="A27" s="15" t="s">
        <v>256</v>
      </c>
      <c r="B27" s="10">
        <v>112000</v>
      </c>
    </row>
    <row r="28" spans="1:2" x14ac:dyDescent="0.25">
      <c r="A28" s="15" t="s">
        <v>257</v>
      </c>
      <c r="B28" s="10">
        <v>188000</v>
      </c>
    </row>
    <row r="29" spans="1:2" x14ac:dyDescent="0.25">
      <c r="A29" s="15" t="s">
        <v>258</v>
      </c>
      <c r="B29" s="10">
        <v>67000</v>
      </c>
    </row>
    <row r="30" spans="1:2" x14ac:dyDescent="0.25">
      <c r="A30" s="15" t="s">
        <v>259</v>
      </c>
      <c r="B30" s="10">
        <v>108000</v>
      </c>
    </row>
    <row r="31" spans="1:2" x14ac:dyDescent="0.25">
      <c r="A31" s="15" t="s">
        <v>260</v>
      </c>
      <c r="B31" s="10">
        <v>81000</v>
      </c>
    </row>
    <row r="32" spans="1:2" x14ac:dyDescent="0.25">
      <c r="A32" s="15" t="s">
        <v>261</v>
      </c>
      <c r="B32" s="10">
        <v>72000</v>
      </c>
    </row>
    <row r="33" spans="1:2" x14ac:dyDescent="0.25">
      <c r="A33" s="15" t="s">
        <v>262</v>
      </c>
      <c r="B33" s="10">
        <v>118000</v>
      </c>
    </row>
    <row r="34" spans="1:2" x14ac:dyDescent="0.25">
      <c r="A34" s="15" t="s">
        <v>263</v>
      </c>
      <c r="B34" s="10">
        <v>108000</v>
      </c>
    </row>
    <row r="35" spans="1:2" x14ac:dyDescent="0.25">
      <c r="A35" s="15" t="s">
        <v>264</v>
      </c>
      <c r="B35" s="10">
        <v>108000</v>
      </c>
    </row>
    <row r="36" spans="1:2" x14ac:dyDescent="0.25">
      <c r="A36" s="13" t="s">
        <v>265</v>
      </c>
      <c r="B36" s="10">
        <v>1732000</v>
      </c>
    </row>
    <row r="37" spans="1:2" x14ac:dyDescent="0.25">
      <c r="A37" s="15" t="s">
        <v>266</v>
      </c>
      <c r="B37" s="10">
        <v>58000</v>
      </c>
    </row>
    <row r="38" spans="1:2" x14ac:dyDescent="0.25">
      <c r="A38" s="15" t="s">
        <v>267</v>
      </c>
      <c r="B38" s="10">
        <v>73000</v>
      </c>
    </row>
    <row r="39" spans="1:2" x14ac:dyDescent="0.25">
      <c r="A39" s="15" t="s">
        <v>268</v>
      </c>
      <c r="B39" s="10">
        <v>62000</v>
      </c>
    </row>
    <row r="40" spans="1:2" x14ac:dyDescent="0.25">
      <c r="A40" s="15" t="s">
        <v>269</v>
      </c>
      <c r="B40" s="10">
        <v>132000</v>
      </c>
    </row>
    <row r="41" spans="1:2" x14ac:dyDescent="0.25">
      <c r="A41" s="15" t="s">
        <v>270</v>
      </c>
      <c r="B41" s="10">
        <v>111000</v>
      </c>
    </row>
    <row r="42" spans="1:2" x14ac:dyDescent="0.25">
      <c r="A42" s="15" t="s">
        <v>271</v>
      </c>
      <c r="B42" s="10">
        <v>88000</v>
      </c>
    </row>
    <row r="43" spans="1:2" x14ac:dyDescent="0.25">
      <c r="A43" s="15" t="s">
        <v>272</v>
      </c>
      <c r="B43" s="10">
        <v>78000</v>
      </c>
    </row>
    <row r="44" spans="1:2" x14ac:dyDescent="0.25">
      <c r="A44" s="15" t="s">
        <v>273</v>
      </c>
      <c r="B44" s="10">
        <v>108000</v>
      </c>
    </row>
    <row r="45" spans="1:2" x14ac:dyDescent="0.25">
      <c r="A45" s="15" t="s">
        <v>274</v>
      </c>
      <c r="B45" s="10">
        <v>78000</v>
      </c>
    </row>
    <row r="46" spans="1:2" x14ac:dyDescent="0.25">
      <c r="A46" s="15" t="s">
        <v>275</v>
      </c>
      <c r="B46" s="10">
        <v>88000</v>
      </c>
    </row>
    <row r="47" spans="1:2" x14ac:dyDescent="0.25">
      <c r="A47" s="15" t="s">
        <v>276</v>
      </c>
      <c r="B47" s="10">
        <v>89000</v>
      </c>
    </row>
    <row r="48" spans="1:2" x14ac:dyDescent="0.25">
      <c r="A48" s="15" t="s">
        <v>277</v>
      </c>
      <c r="B48" s="10">
        <v>132000</v>
      </c>
    </row>
    <row r="49" spans="1:2" x14ac:dyDescent="0.25">
      <c r="A49" s="15" t="s">
        <v>278</v>
      </c>
      <c r="B49" s="10">
        <v>76000</v>
      </c>
    </row>
    <row r="50" spans="1:2" x14ac:dyDescent="0.25">
      <c r="A50" s="15" t="s">
        <v>279</v>
      </c>
      <c r="B50" s="10">
        <v>96000</v>
      </c>
    </row>
    <row r="51" spans="1:2" x14ac:dyDescent="0.25">
      <c r="A51" s="15" t="s">
        <v>280</v>
      </c>
      <c r="B51" s="10">
        <v>118000</v>
      </c>
    </row>
    <row r="52" spans="1:2" x14ac:dyDescent="0.25">
      <c r="A52" s="15" t="s">
        <v>281</v>
      </c>
      <c r="B52" s="10">
        <v>62000</v>
      </c>
    </row>
    <row r="53" spans="1:2" x14ac:dyDescent="0.25">
      <c r="A53" s="15" t="s">
        <v>282</v>
      </c>
      <c r="B53" s="10">
        <v>80000</v>
      </c>
    </row>
    <row r="54" spans="1:2" x14ac:dyDescent="0.25">
      <c r="A54" s="15" t="s">
        <v>283</v>
      </c>
      <c r="B54" s="10">
        <v>102000</v>
      </c>
    </row>
    <row r="55" spans="1:2" x14ac:dyDescent="0.25">
      <c r="A55" s="15" t="s">
        <v>284</v>
      </c>
      <c r="B55" s="10">
        <v>101000</v>
      </c>
    </row>
    <row r="56" spans="1:2" x14ac:dyDescent="0.25">
      <c r="A56" s="13" t="s">
        <v>229</v>
      </c>
      <c r="B56" s="10">
        <v>4809000</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11697-F4F7-4BBC-B356-1C0D459127EE}">
  <dimension ref="A3:B9"/>
  <sheetViews>
    <sheetView workbookViewId="0">
      <selection activeCell="K21" sqref="K21"/>
    </sheetView>
  </sheetViews>
  <sheetFormatPr defaultRowHeight="15" x14ac:dyDescent="0.25"/>
  <cols>
    <col min="1" max="1" width="13.140625" bestFit="1" customWidth="1"/>
    <col min="2" max="2" width="15.5703125" bestFit="1" customWidth="1"/>
  </cols>
  <sheetData>
    <row r="3" spans="1:2" x14ac:dyDescent="0.25">
      <c r="A3" s="12" t="s">
        <v>230</v>
      </c>
      <c r="B3" s="4" t="s">
        <v>231</v>
      </c>
    </row>
    <row r="4" spans="1:2" x14ac:dyDescent="0.25">
      <c r="A4" s="13" t="s">
        <v>111</v>
      </c>
      <c r="B4" s="10">
        <v>788000</v>
      </c>
    </row>
    <row r="5" spans="1:2" x14ac:dyDescent="0.25">
      <c r="A5" s="13" t="s">
        <v>122</v>
      </c>
      <c r="B5" s="10">
        <v>703000</v>
      </c>
    </row>
    <row r="6" spans="1:2" x14ac:dyDescent="0.25">
      <c r="A6" s="13" t="s">
        <v>102</v>
      </c>
      <c r="B6" s="10">
        <v>658000</v>
      </c>
    </row>
    <row r="7" spans="1:2" x14ac:dyDescent="0.25">
      <c r="A7" s="13" t="s">
        <v>107</v>
      </c>
      <c r="B7" s="10">
        <v>633000</v>
      </c>
    </row>
    <row r="8" spans="1:2" x14ac:dyDescent="0.25">
      <c r="A8" s="13" t="s">
        <v>113</v>
      </c>
      <c r="B8" s="10">
        <v>581000</v>
      </c>
    </row>
    <row r="9" spans="1:2" x14ac:dyDescent="0.25">
      <c r="A9" s="13" t="s">
        <v>229</v>
      </c>
      <c r="B9" s="10">
        <v>3363000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D6801-EEEF-4228-AC96-E7A88F86A8C3}">
  <dimension ref="A2:J20"/>
  <sheetViews>
    <sheetView workbookViewId="0">
      <selection activeCell="H19" sqref="H19"/>
    </sheetView>
  </sheetViews>
  <sheetFormatPr defaultRowHeight="15" x14ac:dyDescent="0.25"/>
  <cols>
    <col min="1" max="2" width="15.5703125" bestFit="1" customWidth="1"/>
    <col min="9" max="9" width="13.140625" bestFit="1" customWidth="1"/>
    <col min="10" max="10" width="15.5703125" bestFit="1" customWidth="1"/>
  </cols>
  <sheetData>
    <row r="2" spans="1:10" x14ac:dyDescent="0.25">
      <c r="I2" s="12" t="s">
        <v>230</v>
      </c>
      <c r="J2" s="4" t="s">
        <v>231</v>
      </c>
    </row>
    <row r="3" spans="1:10" x14ac:dyDescent="0.25">
      <c r="A3" s="4" t="s">
        <v>231</v>
      </c>
      <c r="I3" s="13" t="s">
        <v>101</v>
      </c>
      <c r="J3" s="10">
        <v>1316000</v>
      </c>
    </row>
    <row r="4" spans="1:10" x14ac:dyDescent="0.25">
      <c r="A4" s="10">
        <v>4809000</v>
      </c>
      <c r="I4" s="13" t="s">
        <v>115</v>
      </c>
      <c r="J4" s="10">
        <v>1262000</v>
      </c>
    </row>
    <row r="5" spans="1:10" x14ac:dyDescent="0.25">
      <c r="I5" s="13" t="s">
        <v>106</v>
      </c>
      <c r="J5" s="10">
        <v>1198000</v>
      </c>
    </row>
    <row r="6" spans="1:10" x14ac:dyDescent="0.25">
      <c r="I6" s="13" t="s">
        <v>110</v>
      </c>
      <c r="J6" s="10">
        <v>1033000</v>
      </c>
    </row>
    <row r="7" spans="1:10" x14ac:dyDescent="0.25">
      <c r="I7" s="13" t="s">
        <v>229</v>
      </c>
      <c r="J7" s="10">
        <v>4809000</v>
      </c>
    </row>
    <row r="11" spans="1:10" x14ac:dyDescent="0.25">
      <c r="I11" s="12" t="s">
        <v>230</v>
      </c>
      <c r="J11" s="4" t="s">
        <v>231</v>
      </c>
    </row>
    <row r="12" spans="1:10" x14ac:dyDescent="0.25">
      <c r="I12" s="13" t="s">
        <v>111</v>
      </c>
      <c r="J12" s="10">
        <v>788000</v>
      </c>
    </row>
    <row r="13" spans="1:10" x14ac:dyDescent="0.25">
      <c r="A13" s="12" t="s">
        <v>230</v>
      </c>
      <c r="B13" s="4" t="s">
        <v>231</v>
      </c>
      <c r="I13" s="13" t="s">
        <v>122</v>
      </c>
      <c r="J13" s="10">
        <v>703000</v>
      </c>
    </row>
    <row r="14" spans="1:10" x14ac:dyDescent="0.25">
      <c r="A14" s="13" t="s">
        <v>217</v>
      </c>
      <c r="B14" s="10">
        <v>1196000</v>
      </c>
      <c r="I14" s="13" t="s">
        <v>102</v>
      </c>
      <c r="J14" s="10">
        <v>658000</v>
      </c>
    </row>
    <row r="15" spans="1:10" x14ac:dyDescent="0.25">
      <c r="A15" s="13" t="s">
        <v>104</v>
      </c>
      <c r="B15" s="10">
        <v>1125000</v>
      </c>
      <c r="I15" s="13" t="s">
        <v>107</v>
      </c>
      <c r="J15" s="10">
        <v>633000</v>
      </c>
    </row>
    <row r="16" spans="1:10" x14ac:dyDescent="0.25">
      <c r="A16" s="13" t="s">
        <v>216</v>
      </c>
      <c r="B16" s="10">
        <v>952000</v>
      </c>
      <c r="I16" s="13" t="s">
        <v>113</v>
      </c>
      <c r="J16" s="10">
        <v>581000</v>
      </c>
    </row>
    <row r="17" spans="1:10" x14ac:dyDescent="0.25">
      <c r="A17" s="13" t="s">
        <v>219</v>
      </c>
      <c r="B17" s="10">
        <v>924000</v>
      </c>
      <c r="I17" s="13" t="s">
        <v>124</v>
      </c>
      <c r="J17" s="10">
        <v>562000</v>
      </c>
    </row>
    <row r="18" spans="1:10" x14ac:dyDescent="0.25">
      <c r="A18" s="13" t="s">
        <v>218</v>
      </c>
      <c r="B18" s="10">
        <v>612000</v>
      </c>
      <c r="I18" s="13" t="s">
        <v>116</v>
      </c>
      <c r="J18" s="10">
        <v>558000</v>
      </c>
    </row>
    <row r="19" spans="1:10" x14ac:dyDescent="0.25">
      <c r="A19" s="13" t="s">
        <v>229</v>
      </c>
      <c r="B19" s="10">
        <v>4809000</v>
      </c>
      <c r="I19" s="13" t="s">
        <v>119</v>
      </c>
      <c r="J19" s="10">
        <v>326000</v>
      </c>
    </row>
    <row r="20" spans="1:10" x14ac:dyDescent="0.25">
      <c r="I20" s="13" t="s">
        <v>229</v>
      </c>
      <c r="J20" s="10">
        <v>4809000</v>
      </c>
    </row>
  </sheetData>
  <pageMargins left="0.7" right="0.7" top="0.75" bottom="0.75" header="0.3" footer="0.3"/>
  <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F45AF-CFC7-4126-94FC-9882E07FEFEC}">
  <dimension ref="A1"/>
  <sheetViews>
    <sheetView zoomScale="55" zoomScaleNormal="55" workbookViewId="0">
      <selection activeCell="X22" sqref="X2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Raw_Data</vt:lpstr>
      <vt:lpstr>Cleaned_Data</vt:lpstr>
      <vt:lpstr>Sales_by_Store</vt:lpstr>
      <vt:lpstr>Sales_by_Category</vt:lpstr>
      <vt:lpstr>Monthly_Sales_Trend</vt:lpstr>
      <vt:lpstr>Top_5_Customers_by_Revenue</vt:lpstr>
      <vt:lpstr>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Ashish Makadiya</dc:creator>
  <cp:lastModifiedBy>Ashish Makadiya</cp:lastModifiedBy>
  <dcterms:created xsi:type="dcterms:W3CDTF">2015-06-05T18:17:20Z</dcterms:created>
  <dcterms:modified xsi:type="dcterms:W3CDTF">2026-06-18T12:19:27Z</dcterms:modified>
</cp:coreProperties>
</file>